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95" yWindow="0" windowWidth="26010" windowHeight="20985" tabRatio="500" firstSheet="0" activeTab="1" autoFilterDateGrouping="1"/>
  </bookViews>
  <sheets>
    <sheet xmlns:r="http://schemas.openxmlformats.org/officeDocument/2006/relationships" name="Info &amp; Legende" sheetId="1" state="visible" r:id="rId1"/>
    <sheet xmlns:r="http://schemas.openxmlformats.org/officeDocument/2006/relationships" name="Checkliste" sheetId="2" state="visible" r:id="rId2"/>
    <sheet xmlns:r="http://schemas.openxmlformats.org/officeDocument/2006/relationships" name="Auslese-Mapping" sheetId="3" state="visible" r:id="rId3"/>
    <sheet xmlns:r="http://schemas.openxmlformats.org/officeDocument/2006/relationships" name="Anhang ASR-Regeln" sheetId="4" state="visible" r:id="rId4"/>
  </sheets>
  <definedNames>
    <definedName name="_xlnm._FilterDatabase" localSheetId="1" hidden="1">'Checkliste'!$A$2:$J$119</definedName>
    <definedName name="_xlnm._FilterDatabase" localSheetId="2" hidden="1">'Auslese-Mapping'!$A$3:$G$120</definedName>
    <definedName name="_xlnm._FilterDatabase" localSheetId="3" hidden="1">'Anhang ASR-Regeln'!$A$3:$F$19</definedName>
  </definedNames>
  <calcPr calcId="191029" fullCalcOnLoad="1" iterateDelta="0.000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15"/>
    </font>
    <font>
      <name val="Arial"/>
      <charset val="1"/>
      <i val="1"/>
      <color rgb="FFFFFFFF"/>
      <sz val="10"/>
    </font>
    <font>
      <name val="Arial"/>
      <charset val="1"/>
      <b val="1"/>
      <color rgb="FF1F3864"/>
      <sz val="11"/>
    </font>
    <font>
      <name val="Arial"/>
      <charset val="1"/>
      <b val="1"/>
      <sz val="10"/>
    </font>
    <font>
      <name val="Arial"/>
      <charset val="1"/>
      <sz val="10"/>
    </font>
    <font>
      <name val="Arial"/>
      <charset val="1"/>
      <b val="1"/>
      <color rgb="FFFFFFFF"/>
      <sz val="10"/>
    </font>
    <font>
      <name val="Arial"/>
      <charset val="1"/>
      <i val="1"/>
      <color rgb="FF595959"/>
      <sz val="9"/>
    </font>
    <font>
      <name val="Arial"/>
      <charset val="1"/>
      <b val="1"/>
      <color rgb="FF9C0006"/>
      <sz val="11"/>
    </font>
    <font>
      <name val="Arial"/>
      <charset val="1"/>
      <b val="1"/>
      <color rgb="FFFFFFFF"/>
      <sz val="13"/>
    </font>
    <font>
      <name val="Arial"/>
      <charset val="1"/>
      <i val="1"/>
      <sz val="10"/>
    </font>
    <font>
      <name val="Arial"/>
      <b val="1"/>
      <color rgb="00FFFFFF"/>
      <sz val="13"/>
    </font>
    <font>
      <name val="Arial"/>
      <i val="1"/>
      <color rgb="00000000"/>
      <sz val="9"/>
    </font>
    <font>
      <name val="Arial"/>
      <b val="1"/>
      <color rgb="00FFFFFF"/>
      <sz val="10"/>
    </font>
    <font>
      <name val="Arial"/>
      <b val="1"/>
      <color rgb="00FFFFFF"/>
      <sz val="11"/>
    </font>
    <font>
      <name val="Arial"/>
      <b val="1"/>
      <color rgb="00000000"/>
      <sz val="9"/>
    </font>
    <font>
      <name val="Arial"/>
      <color rgb="00000000"/>
      <sz val="9"/>
    </font>
    <font>
      <name val="Arial"/>
      <b val="1"/>
      <color rgb="00990000"/>
      <sz val="9"/>
    </font>
    <font>
      <name val="Arial"/>
      <b val="1"/>
      <color rgb="00006100"/>
      <sz val="9"/>
    </font>
    <font>
      <name val="Arial"/>
      <i val="1"/>
      <color rgb="00666666"/>
      <sz val="8"/>
    </font>
    <font>
      <name val="Arial"/>
      <b val="1"/>
      <color rgb="009C6500"/>
      <sz val="9"/>
    </font>
    <font>
      <name val="Arial"/>
      <b val="1"/>
      <color rgb="009C5700"/>
      <sz val="9"/>
    </font>
    <font>
      <name val="Arial"/>
      <b val="1"/>
      <color rgb="00595959"/>
      <sz val="9"/>
    </font>
    <font>
      <name val="Arial"/>
      <b val="1"/>
      <color rgb="003F3F3F"/>
      <sz val="9"/>
    </font>
  </fonts>
  <fills count="18">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DCE6F1"/>
        <bgColor rgb="FFE7E6E6"/>
      </patternFill>
    </fill>
    <fill>
      <patternFill patternType="solid">
        <fgColor rgb="FFFFF2CC"/>
        <bgColor rgb="FFFFEB9C"/>
      </patternFill>
    </fill>
    <fill>
      <patternFill patternType="solid">
        <fgColor rgb="001F3864"/>
      </patternFill>
    </fill>
    <fill>
      <patternFill patternType="solid">
        <fgColor rgb="00F7F9FC"/>
      </patternFill>
    </fill>
    <fill>
      <patternFill patternType="solid">
        <fgColor rgb="00305496"/>
      </patternFill>
    </fill>
    <fill>
      <patternFill patternType="solid">
        <fgColor rgb="002E5496"/>
      </patternFill>
    </fill>
    <fill>
      <patternFill patternType="solid">
        <fgColor rgb="00FFFFFF"/>
      </patternFill>
    </fill>
    <fill>
      <patternFill patternType="solid">
        <fgColor rgb="00F4CCCC"/>
      </patternFill>
    </fill>
    <fill>
      <patternFill patternType="solid">
        <fgColor rgb="00C6EFCE"/>
      </patternFill>
    </fill>
    <fill>
      <patternFill patternType="solid">
        <fgColor rgb="00F2F5FA"/>
      </patternFill>
    </fill>
    <fill>
      <patternFill patternType="solid">
        <fgColor rgb="00FFEB9C"/>
      </patternFill>
    </fill>
    <fill>
      <patternFill patternType="solid">
        <fgColor rgb="00FCE5CD"/>
      </patternFill>
    </fill>
    <fill>
      <patternFill patternType="solid">
        <fgColor rgb="00D9D9D9"/>
      </patternFill>
    </fill>
    <fill>
      <patternFill patternType="solid">
        <fgColor rgb="00E2E2E2"/>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6" fillId="3" borderId="1" applyAlignment="1" pivotButton="0" quotePrefix="0" xfId="0">
      <alignment vertical="center" wrapText="1" indent="1"/>
    </xf>
    <xf numFmtId="0" fontId="4" fillId="0" borderId="1" applyAlignment="1" pivotButton="0" quotePrefix="0" xfId="0">
      <alignment vertical="center" wrapText="1" indent="1"/>
    </xf>
    <xf numFmtId="0" fontId="4" fillId="0" borderId="1" applyAlignment="1" pivotButton="0" quotePrefix="0" xfId="0">
      <alignment horizontal="center" vertical="center"/>
    </xf>
    <xf numFmtId="164" fontId="3" fillId="0" borderId="1" applyAlignment="1" pivotButton="0" quotePrefix="0" xfId="0">
      <alignment horizontal="center" vertical="center"/>
    </xf>
    <xf numFmtId="0" fontId="8" fillId="0" borderId="1" applyAlignment="1" pivotButton="0" quotePrefix="0" xfId="0">
      <alignment horizontal="center" vertical="center"/>
    </xf>
    <xf numFmtId="0" fontId="6"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5" fillId="5" borderId="1" applyAlignment="1" pivotButton="0" quotePrefix="0" xfId="0">
      <alignment vertical="top" wrapText="1"/>
    </xf>
    <xf numFmtId="0" fontId="5" fillId="0" borderId="1" applyAlignment="1" pivotButton="0" quotePrefix="0" xfId="0">
      <alignment horizontal="center" vertical="top"/>
    </xf>
    <xf numFmtId="0" fontId="5" fillId="5" borderId="1" applyAlignment="1" pivotButton="0" quotePrefix="0" xfId="0">
      <alignment horizontal="center" vertical="top"/>
    </xf>
    <xf numFmtId="0" fontId="3" fillId="4" borderId="1" applyAlignment="1" pivotButton="0" quotePrefix="0" xfId="0">
      <alignment vertical="center" indent="1"/>
    </xf>
    <xf numFmtId="0" fontId="9" fillId="2" borderId="0" applyAlignment="1" pivotButton="0" quotePrefix="0" xfId="0">
      <alignment vertical="center" indent="1"/>
    </xf>
    <xf numFmtId="0" fontId="5" fillId="0" borderId="1" applyAlignment="1" pivotButton="0" quotePrefix="0" xfId="0">
      <alignment vertical="center" wrapText="1" indent="1"/>
    </xf>
    <xf numFmtId="0" fontId="6" fillId="3" borderId="1" applyAlignment="1" pivotButton="0" quotePrefix="0" xfId="0">
      <alignment vertical="center" wrapText="1" indent="1"/>
    </xf>
    <xf numFmtId="0" fontId="5" fillId="0" borderId="1" applyAlignment="1" pivotButton="0" quotePrefix="0" xfId="0">
      <alignment vertical="top" wrapText="1" indent="1"/>
    </xf>
    <xf numFmtId="0" fontId="7" fillId="0" borderId="0" applyAlignment="1" pivotButton="0" quotePrefix="0" xfId="0">
      <alignment vertical="center" wrapText="1" indent="1"/>
    </xf>
    <xf numFmtId="0" fontId="5" fillId="5" borderId="1" applyAlignment="1" pivotButton="0" quotePrefix="0" xfId="0">
      <alignment vertical="center" wrapText="1" indent="1"/>
    </xf>
    <xf numFmtId="0" fontId="1" fillId="2" borderId="0" applyAlignment="1" pivotButton="0" quotePrefix="0" xfId="0">
      <alignment vertical="center" indent="1"/>
    </xf>
    <xf numFmtId="0" fontId="2" fillId="3" borderId="0" applyAlignment="1" pivotButton="0" quotePrefix="0" xfId="0">
      <alignment vertical="center" indent="1"/>
    </xf>
    <xf numFmtId="0" fontId="10" fillId="0" borderId="0" applyAlignment="1" pivotButton="0" quotePrefix="0" xfId="0">
      <alignment vertical="center" wrapText="1" indent="1"/>
    </xf>
    <xf numFmtId="0" fontId="0" fillId="0" borderId="4" pivotButton="0" quotePrefix="0" xfId="0"/>
    <xf numFmtId="0" fontId="0" fillId="0" borderId="5" pivotButton="0" quotePrefix="0" xfId="0"/>
    <xf numFmtId="0" fontId="11" fillId="6" borderId="0" applyAlignment="1" pivotButton="0" quotePrefix="0" xfId="0">
      <alignment horizontal="left" vertical="center" wrapText="1"/>
    </xf>
    <xf numFmtId="0" fontId="12" fillId="7" borderId="6" applyAlignment="1" pivotButton="0" quotePrefix="0" xfId="0">
      <alignment horizontal="left" vertical="center" wrapText="1"/>
    </xf>
    <xf numFmtId="0" fontId="13" fillId="8" borderId="6" applyAlignment="1" pivotButton="0" quotePrefix="0" xfId="0">
      <alignment horizontal="center" vertical="center" wrapText="1"/>
    </xf>
    <xf numFmtId="0" fontId="14" fillId="9" borderId="6" applyAlignment="1" pivotButton="0" quotePrefix="0" xfId="0">
      <alignment horizontal="left" vertical="center" wrapText="1"/>
    </xf>
    <xf numFmtId="0" fontId="15" fillId="10" borderId="6" applyAlignment="1" pivotButton="0" quotePrefix="0" xfId="0">
      <alignment horizontal="center" vertical="top" wrapText="1"/>
    </xf>
    <xf numFmtId="0" fontId="16" fillId="10" borderId="6" applyAlignment="1" pivotButton="0" quotePrefix="0" xfId="0">
      <alignment horizontal="left" vertical="top" wrapText="1"/>
    </xf>
    <xf numFmtId="0" fontId="17" fillId="11" borderId="6" applyAlignment="1" pivotButton="0" quotePrefix="0" xfId="0">
      <alignment horizontal="center" vertical="top" wrapText="1"/>
    </xf>
    <xf numFmtId="0" fontId="18" fillId="12" borderId="6" applyAlignment="1" pivotButton="0" quotePrefix="0" xfId="0">
      <alignment horizontal="center" vertical="top" wrapText="1"/>
    </xf>
    <xf numFmtId="0" fontId="19" fillId="10" borderId="6" applyAlignment="1" pivotButton="0" quotePrefix="0" xfId="0">
      <alignment horizontal="left" vertical="top" wrapText="1"/>
    </xf>
    <xf numFmtId="0" fontId="15" fillId="13" borderId="6" applyAlignment="1" pivotButton="0" quotePrefix="0" xfId="0">
      <alignment horizontal="center" vertical="top" wrapText="1"/>
    </xf>
    <xf numFmtId="0" fontId="16" fillId="13" borderId="6" applyAlignment="1" pivotButton="0" quotePrefix="0" xfId="0">
      <alignment horizontal="left" vertical="top" wrapText="1"/>
    </xf>
    <xf numFmtId="0" fontId="20" fillId="14" borderId="6" applyAlignment="1" pivotButton="0" quotePrefix="0" xfId="0">
      <alignment horizontal="center" vertical="top" wrapText="1"/>
    </xf>
    <xf numFmtId="0" fontId="19" fillId="13" borderId="6" applyAlignment="1" pivotButton="0" quotePrefix="0" xfId="0">
      <alignment horizontal="left" vertical="top" wrapText="1"/>
    </xf>
    <xf numFmtId="0" fontId="21" fillId="15" borderId="6" applyAlignment="1" pivotButton="0" quotePrefix="0" xfId="0">
      <alignment horizontal="center" vertical="top" wrapText="1"/>
    </xf>
    <xf numFmtId="0" fontId="22" fillId="16" borderId="6" applyAlignment="1" pivotButton="0" quotePrefix="0" xfId="0">
      <alignment horizontal="center" vertical="top" wrapText="1"/>
    </xf>
    <xf numFmtId="0" fontId="23" fillId="17" borderId="6" applyAlignment="1" pivotButton="0" quotePrefix="0" xfId="0">
      <alignment horizontal="center" vertical="top" wrapText="1"/>
    </xf>
  </cellXfs>
  <cellStyles count="1">
    <cellStyle name="Standard" xfId="0" builtinId="0"/>
  </cellStyles>
  <dxfs count="8">
    <dxf>
      <font>
        <name val="Arial"/>
        <charset val="1"/>
        <color rgb="FF9C0006"/>
      </font>
      <fill>
        <patternFill>
          <bgColor rgb="FFFFC7CE"/>
        </patternFill>
      </fill>
    </dxf>
    <dxf>
      <font>
        <name val="Arial"/>
        <charset val="1"/>
        <color rgb="FF9C6500"/>
      </font>
      <fill>
        <patternFill>
          <bgColor rgb="FFFFEB9C"/>
        </patternFill>
      </fill>
    </dxf>
    <dxf>
      <font>
        <name val="Arial"/>
        <charset val="1"/>
        <b val="1"/>
        <color rgb="FF006100"/>
      </font>
      <fill>
        <patternFill>
          <bgColor rgb="FFC6EFCE"/>
        </patternFill>
      </fill>
    </dxf>
    <dxf>
      <font>
        <name val="Arial"/>
        <charset val="1"/>
        <color rgb="FF808080"/>
      </font>
      <fill>
        <patternFill>
          <bgColor rgb="FFE7E6E6"/>
        </patternFill>
      </fill>
    </dxf>
    <dxf>
      <font>
        <name val="Arial"/>
        <charset val="1"/>
        <color rgb="FF9C6500"/>
      </font>
      <fill>
        <patternFill>
          <bgColor rgb="FFFFEB9C"/>
        </patternFill>
      </fill>
    </dxf>
    <dxf>
      <font>
        <name val="Arial"/>
        <charset val="1"/>
        <color rgb="FF9C0006"/>
      </font>
      <fill>
        <patternFill>
          <bgColor rgb="FFFFC7CE"/>
        </patternFill>
      </fill>
    </dxf>
    <dxf>
      <font>
        <name val="Arial"/>
        <charset val="1"/>
        <b val="1"/>
        <color rgb="FF006100"/>
      </font>
      <fill>
        <patternFill>
          <bgColor rgb="FFC6EFCE"/>
        </patternFill>
      </fill>
    </dxf>
    <dxf>
      <font>
        <name val="Arial"/>
        <charset val="1"/>
        <b val="1"/>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66"/>
  <sheetViews>
    <sheetView showGridLines="0" zoomScaleNormal="100" workbookViewId="0">
      <selection activeCell="A1" sqref="A1"/>
    </sheetView>
  </sheetViews>
  <sheetFormatPr baseColWidth="10" defaultColWidth="8.7109375" defaultRowHeight="15"/>
  <cols>
    <col width="3" customWidth="1" min="1" max="1"/>
    <col width="34" customWidth="1" min="2" max="2"/>
    <col width="30" customWidth="1" min="3" max="3"/>
    <col width="26" customWidth="1" min="4" max="6"/>
  </cols>
  <sheetData>
    <row r="2" ht="30" customHeight="1">
      <c r="B2" s="20" t="inlineStr">
        <is>
          <t>Microsoft 365 Business Premium  -  Sicherheits-Einrichtung &amp; Dokumentation</t>
        </is>
      </c>
    </row>
    <row r="3" ht="19.5" customHeight="1">
      <c r="B3" s="21" t="inlineStr">
        <is>
          <t>Dokumentations-Vordruck &amp; Einrichtungs-Kontrolle   ·   Intune · Defender · Entra ID · Purview/Exchange · Betrieb</t>
        </is>
      </c>
    </row>
    <row r="5" ht="19.5" customHeight="1">
      <c r="B5" s="13" t="inlineStr">
        <is>
          <t>Projekt- und Kundendaten</t>
        </is>
      </c>
      <c r="C5" s="23" t="n"/>
      <c r="D5" s="23" t="n"/>
      <c r="E5" s="23" t="n"/>
      <c r="F5" s="24" t="n"/>
    </row>
    <row r="6">
      <c r="B6" s="2" t="inlineStr">
        <is>
          <t>Kunde / Mandant</t>
        </is>
      </c>
      <c r="C6" s="19" t="n"/>
      <c r="D6" s="23" t="n"/>
      <c r="E6" s="23" t="n"/>
      <c r="F6" s="24" t="n"/>
    </row>
    <row r="7" ht="25.5" customHeight="1">
      <c r="B7" s="2" t="inlineStr">
        <is>
          <t>Tenant-Domäne (…onmicrosoft.com)</t>
        </is>
      </c>
      <c r="C7" s="19" t="n"/>
      <c r="D7" s="23" t="n"/>
      <c r="E7" s="23" t="n"/>
      <c r="F7" s="24" t="n"/>
    </row>
    <row r="8">
      <c r="B8" s="2" t="inlineStr">
        <is>
          <t>Tenant-ID</t>
        </is>
      </c>
      <c r="C8" s="19" t="n"/>
      <c r="D8" s="23" t="n"/>
      <c r="E8" s="23" t="n"/>
      <c r="F8" s="24" t="n"/>
    </row>
    <row r="9">
      <c r="B9" s="2" t="inlineStr">
        <is>
          <t>Bearbeiter / Techniker</t>
        </is>
      </c>
      <c r="C9" s="19" t="n"/>
      <c r="D9" s="23" t="n"/>
      <c r="E9" s="23" t="n"/>
      <c r="F9" s="24" t="n"/>
    </row>
    <row r="10">
      <c r="B10" s="2" t="inlineStr">
        <is>
          <t>Datum der Einrichtung</t>
        </is>
      </c>
      <c r="C10" s="19" t="n"/>
      <c r="D10" s="23" t="n"/>
      <c r="E10" s="23" t="n"/>
      <c r="F10" s="24" t="n"/>
    </row>
    <row r="11">
      <c r="B11" s="2" t="inlineStr">
        <is>
          <t>Datum der Kontrolle / Abnahme</t>
        </is>
      </c>
      <c r="C11" s="19" t="n"/>
      <c r="D11" s="23" t="n"/>
      <c r="E11" s="23" t="n"/>
      <c r="F11" s="24" t="n"/>
    </row>
    <row r="12" ht="15" customHeight="1">
      <c r="B12" s="2" t="inlineStr">
        <is>
          <t>Turnus der Wiederholungsprüfung</t>
        </is>
      </c>
      <c r="C12" s="19" t="inlineStr">
        <is>
          <t>halbjährlich (Empfehlung)</t>
        </is>
      </c>
      <c r="D12" s="23" t="n"/>
      <c r="E12" s="23" t="n"/>
      <c r="F12" s="24" t="n"/>
    </row>
    <row r="13">
      <c r="B13" s="2" t="inlineStr">
        <is>
          <t>Nächste Überprüfung am</t>
        </is>
      </c>
      <c r="C13" s="19" t="n"/>
      <c r="D13" s="23" t="n"/>
      <c r="E13" s="23" t="n"/>
      <c r="F13" s="24" t="n"/>
    </row>
    <row r="14" ht="15" customHeight="1">
      <c r="B14" s="2" t="inlineStr">
        <is>
          <t>Dokumentversion</t>
        </is>
      </c>
      <c r="C14" s="15" t="inlineStr">
        <is>
          <t>1.1  (Stand 07.09.2026)</t>
        </is>
      </c>
      <c r="D14" s="23" t="n"/>
      <c r="E14" s="23" t="n"/>
      <c r="F14" s="24" t="n"/>
    </row>
    <row r="16" ht="19.5" customHeight="1">
      <c r="B16" s="13" t="inlineStr">
        <is>
          <t>Legende  -  Priorität (Tier)</t>
        </is>
      </c>
      <c r="C16" s="23" t="n"/>
      <c r="D16" s="23" t="n"/>
      <c r="E16" s="23" t="n"/>
      <c r="F16" s="24" t="n"/>
    </row>
    <row r="17" ht="15" customHeight="1">
      <c r="B17" s="16" t="inlineStr">
        <is>
          <t>Tier</t>
        </is>
      </c>
      <c r="C17" s="16" t="inlineStr">
        <is>
          <t>Bedeutung</t>
        </is>
      </c>
      <c r="D17" s="23" t="n"/>
      <c r="E17" s="23" t="n"/>
      <c r="F17" s="24" t="n"/>
    </row>
    <row r="18" ht="27.75" customHeight="1">
      <c r="B18" s="2" t="inlineStr">
        <is>
          <t>Pflicht</t>
        </is>
      </c>
      <c r="C18" s="15" t="inlineStr">
        <is>
          <t>Muss gesetzt sein. Ohne diese Einstellung ist ein Basis-Sicherheitsniveau nicht gegeben (Grundabsicherung, compliancerelevant).</t>
        </is>
      </c>
      <c r="D18" s="23" t="n"/>
      <c r="E18" s="23" t="n"/>
      <c r="F18" s="24" t="n"/>
    </row>
    <row r="19" ht="27.75" customHeight="1">
      <c r="B19" s="2" t="inlineStr">
        <is>
          <t>Best Practice</t>
        </is>
      </c>
      <c r="C19" s="15" t="inlineStr">
        <is>
          <t>Empfohlener Standard. Deutlich erhöhte Sicherheit, sollte ohne triftigen Grund umgesetzt werden.</t>
        </is>
      </c>
      <c r="D19" s="23" t="n"/>
      <c r="E19" s="23" t="n"/>
      <c r="F19" s="24" t="n"/>
    </row>
    <row r="20" ht="27.75" customHeight="1">
      <c r="B20" s="2" t="inlineStr">
        <is>
          <t>Optional</t>
        </is>
      </c>
      <c r="C20" s="15" t="inlineStr">
        <is>
          <t>Situativ. Je nach Kundenbedarf, Betriebsmodell oder vorhandener Lizenzerweiterung.</t>
        </is>
      </c>
      <c r="D20" s="23" t="n"/>
      <c r="E20" s="23" t="n"/>
      <c r="F20" s="24" t="n"/>
    </row>
    <row r="22" ht="19.5" customHeight="1">
      <c r="B22" s="13" t="inlineStr">
        <is>
          <t>Legende  -  Status (Spalte I der Checkliste)</t>
        </is>
      </c>
      <c r="C22" s="23" t="n"/>
      <c r="D22" s="23" t="n"/>
      <c r="E22" s="23" t="n"/>
      <c r="F22" s="24" t="n"/>
    </row>
    <row r="23" ht="15" customHeight="1">
      <c r="B23" s="16" t="inlineStr">
        <is>
          <t>Status</t>
        </is>
      </c>
      <c r="C23" s="16" t="inlineStr">
        <is>
          <t>Bedeutung</t>
        </is>
      </c>
      <c r="D23" s="23" t="n"/>
      <c r="E23" s="23" t="n"/>
      <c r="F23" s="24" t="n"/>
    </row>
    <row r="24" ht="15" customHeight="1">
      <c r="B24" s="2" t="inlineStr">
        <is>
          <t>Offen</t>
        </is>
      </c>
      <c r="C24" s="15" t="inlineStr">
        <is>
          <t>Noch nicht bearbeitet.</t>
        </is>
      </c>
      <c r="D24" s="23" t="n"/>
      <c r="E24" s="23" t="n"/>
      <c r="F24" s="24" t="n"/>
    </row>
    <row r="25" ht="15" customHeight="1">
      <c r="B25" s="2" t="inlineStr">
        <is>
          <t>Erledigt</t>
        </is>
      </c>
      <c r="C25" s="15" t="inlineStr">
        <is>
          <t>Umgesetzt und geprüft.</t>
        </is>
      </c>
      <c r="D25" s="23" t="n"/>
      <c r="E25" s="23" t="n"/>
      <c r="F25" s="24" t="n"/>
    </row>
    <row r="26" ht="15" customHeight="1">
      <c r="B26" s="2" t="inlineStr">
        <is>
          <t>Teilweise</t>
        </is>
      </c>
      <c r="C26" s="15" t="inlineStr">
        <is>
          <t>Teilweise umgesetzt oder in Arbeit.</t>
        </is>
      </c>
      <c r="D26" s="23" t="n"/>
      <c r="E26" s="23" t="n"/>
      <c r="F26" s="24" t="n"/>
    </row>
    <row r="27" ht="15" customHeight="1">
      <c r="B27" s="2" t="inlineStr">
        <is>
          <t>n.a.</t>
        </is>
      </c>
      <c r="C27" s="15" t="inlineStr">
        <is>
          <t>Nicht anwendbar. Begründung zwingend in Spalte 'Bemerkung' eintragen.</t>
        </is>
      </c>
      <c r="D27" s="23" t="n"/>
      <c r="E27" s="23" t="n"/>
      <c r="F27" s="24" t="n"/>
    </row>
    <row r="29" ht="19.5" customHeight="1">
      <c r="B29" s="13" t="inlineStr">
        <is>
          <t>Grundsatzentscheidung E-Mail-Schutz (steuert Abschnitt C der Checkliste)</t>
        </is>
      </c>
      <c r="C29" s="23" t="n"/>
      <c r="D29" s="23" t="n"/>
      <c r="E29" s="23" t="n"/>
      <c r="F29" s="24" t="n"/>
    </row>
    <row r="30" ht="15" customHeight="1">
      <c r="B30" s="2" t="inlineStr">
        <is>
          <t>Gewählter Weg</t>
        </is>
      </c>
      <c r="C30" s="19" t="inlineStr">
        <is>
          <t>Weg A - Preset</t>
        </is>
      </c>
      <c r="D30" s="23" t="n"/>
      <c r="E30" s="23" t="n"/>
      <c r="F30" s="24" t="n"/>
    </row>
    <row r="31" ht="42" customHeight="1">
      <c r="B31" s="18" t="inlineStr">
        <is>
          <t>Weg A: voreingestellte Sicherheitsrichtlinien (Preset Standard/Strict). Die Zeilen C-12 bis C-17 werden auf n.a. gesetzt.   Weg B: benutzerdefinierte Richtlinien. Die Zeilen C-10 und C-11 werden auf n.a. gesetzt.   Beides parallel funktioniert nicht: Einstellungen benutzerdefinierter Richtlinien werden ignoriert, sobald derselbe Empfänger auch von einem Standard- oder Strict-Preset erfasst ist. Die Zeilen C-18 bis C-23 gelten in beiden Fällen.</t>
        </is>
      </c>
    </row>
    <row r="33" ht="19.5" customHeight="1">
      <c r="B33" s="13" t="inlineStr">
        <is>
          <t>Fortschritt (automatisch berechnet)</t>
        </is>
      </c>
      <c r="C33" s="23" t="n"/>
      <c r="D33" s="23" t="n"/>
      <c r="E33" s="23" t="n"/>
      <c r="F33" s="24" t="n"/>
    </row>
    <row r="34" ht="15" customHeight="1">
      <c r="B34" s="16" t="inlineStr">
        <is>
          <t>Kennzahl</t>
        </is>
      </c>
      <c r="C34" s="16" t="inlineStr">
        <is>
          <t>Wert</t>
        </is>
      </c>
      <c r="D34" s="16" t="inlineStr">
        <is>
          <t>Hinweis</t>
        </is>
      </c>
      <c r="E34" s="23" t="n"/>
      <c r="F34" s="24" t="n"/>
    </row>
    <row r="35" ht="15" customHeight="1">
      <c r="B35" s="2" t="inlineStr">
        <is>
          <t>Kontrollpunkte gesamt</t>
        </is>
      </c>
      <c r="C35" s="3">
        <f>COUNTIF(Checkliste!E:E,"Pflicht")+COUNTIF(Checkliste!E:E,"Best Practice")+COUNTIF(Checkliste!E:E,"Optional")</f>
        <v/>
      </c>
      <c r="D35" s="15" t="inlineStr">
        <is>
          <t>Alle Zeilen der Checkliste</t>
        </is>
      </c>
      <c r="E35" s="23" t="n"/>
      <c r="F35" s="24" t="n"/>
    </row>
    <row r="36" ht="15" customHeight="1">
      <c r="B36" s="2" t="inlineStr">
        <is>
          <t>davon Pflicht</t>
        </is>
      </c>
      <c r="C36" s="3">
        <f>COUNTIF(Checkliste!E:E,"Pflicht")</f>
        <v/>
      </c>
      <c r="D36" s="15" t="inlineStr">
        <is>
          <t>Muss gesetzt sein</t>
        </is>
      </c>
      <c r="E36" s="23" t="n"/>
      <c r="F36" s="24" t="n"/>
    </row>
    <row r="37" ht="15" customHeight="1">
      <c r="B37" s="2" t="inlineStr">
        <is>
          <t>davon Best Practice</t>
        </is>
      </c>
      <c r="C37" s="3">
        <f>COUNTIF(Checkliste!E:E,"Best Practice")</f>
        <v/>
      </c>
      <c r="D37" s="15" t="inlineStr">
        <is>
          <t>Empfohlen</t>
        </is>
      </c>
      <c r="E37" s="23" t="n"/>
      <c r="F37" s="24" t="n"/>
    </row>
    <row r="38" ht="15" customHeight="1">
      <c r="B38" s="2" t="inlineStr">
        <is>
          <t>davon Optional</t>
        </is>
      </c>
      <c r="C38" s="3">
        <f>COUNTIF(Checkliste!E:E,"Optional")</f>
        <v/>
      </c>
      <c r="D38" s="15" t="inlineStr">
        <is>
          <t>Situativ</t>
        </is>
      </c>
      <c r="E38" s="23" t="n"/>
      <c r="F38" s="24" t="n"/>
    </row>
    <row r="40" ht="15" customHeight="1">
      <c r="B40" s="2" t="inlineStr">
        <is>
          <t>Status: Erledigt</t>
        </is>
      </c>
      <c r="C40" s="3">
        <f>COUNTIF(Checkliste!I:I,"Erledigt")</f>
        <v/>
      </c>
      <c r="D40" s="15" t="inlineStr">
        <is>
          <t>Umgesetzt und geprüft</t>
        </is>
      </c>
      <c r="E40" s="23" t="n"/>
      <c r="F40" s="24" t="n"/>
    </row>
    <row r="41" ht="15" customHeight="1">
      <c r="B41" s="2" t="inlineStr">
        <is>
          <t>Status: Teilweise</t>
        </is>
      </c>
      <c r="C41" s="3">
        <f>COUNTIF(Checkliste!I:I,"Teilweise")</f>
        <v/>
      </c>
      <c r="D41" s="15" t="inlineStr">
        <is>
          <t>In Arbeit</t>
        </is>
      </c>
      <c r="E41" s="23" t="n"/>
      <c r="F41" s="24" t="n"/>
    </row>
    <row r="42" ht="15" customHeight="1">
      <c r="B42" s="2" t="inlineStr">
        <is>
          <t>Status: Offen</t>
        </is>
      </c>
      <c r="C42" s="3">
        <f>COUNTIF(Checkliste!I:I,"Offen")</f>
        <v/>
      </c>
      <c r="D42" s="15" t="inlineStr">
        <is>
          <t>Noch offen</t>
        </is>
      </c>
      <c r="E42" s="23" t="n"/>
      <c r="F42" s="24" t="n"/>
    </row>
    <row r="43" ht="15" customHeight="1">
      <c r="B43" s="2" t="inlineStr">
        <is>
          <t>Status: n.a.</t>
        </is>
      </c>
      <c r="C43" s="3">
        <f>COUNTIF(Checkliste!I:I,"n.a.")</f>
        <v/>
      </c>
      <c r="D43" s="15" t="inlineStr">
        <is>
          <t>Nicht anwendbar, Begründung erforderlich</t>
        </is>
      </c>
      <c r="E43" s="23" t="n"/>
      <c r="F43" s="24" t="n"/>
    </row>
    <row r="45" ht="15" customHeight="1">
      <c r="B45" s="2" t="inlineStr">
        <is>
          <t>ASR-Regeln gesamt</t>
        </is>
      </c>
      <c r="C45" s="3">
        <f>COUNT('Anhang ASR-Regeln'!A:A)</f>
        <v/>
      </c>
      <c r="D45" s="15" t="inlineStr">
        <is>
          <t>Blatt 'Anhang ASR-Regeln'</t>
        </is>
      </c>
      <c r="E45" s="23" t="n"/>
      <c r="F45" s="24" t="n"/>
    </row>
    <row r="46" ht="15" customHeight="1">
      <c r="B46" s="2" t="inlineStr">
        <is>
          <t>ASR: auf Block</t>
        </is>
      </c>
      <c r="C46" s="3">
        <f>COUNTIF('Anhang ASR-Regeln'!E:E,"Block")</f>
        <v/>
      </c>
      <c r="D46" s="15" t="inlineStr">
        <is>
          <t>Scharf geschaltet</t>
        </is>
      </c>
      <c r="E46" s="23" t="n"/>
      <c r="F46" s="24" t="n"/>
    </row>
    <row r="47" ht="15" customHeight="1">
      <c r="B47" s="2" t="inlineStr">
        <is>
          <t>ASR: auf Audit</t>
        </is>
      </c>
      <c r="C47" s="3">
        <f>COUNTIF('Anhang ASR-Regeln'!E:E,"Audit")</f>
        <v/>
      </c>
      <c r="D47" s="15" t="inlineStr">
        <is>
          <t>In Testphase</t>
        </is>
      </c>
      <c r="E47" s="23" t="n"/>
      <c r="F47" s="24" t="n"/>
    </row>
    <row r="48" ht="15" customHeight="1">
      <c r="B48" s="2" t="inlineStr">
        <is>
          <t>ASR: offen</t>
        </is>
      </c>
      <c r="C48" s="3">
        <f>COUNTIF('Anhang ASR-Regeln'!E:E,"Offen")</f>
        <v/>
      </c>
      <c r="D48" s="15" t="inlineStr">
        <is>
          <t>Noch nicht bearbeitet</t>
        </is>
      </c>
      <c r="E48" s="23" t="n"/>
      <c r="F48" s="24" t="n"/>
    </row>
    <row r="50" ht="15" customHeight="1">
      <c r="B50" s="2" t="inlineStr">
        <is>
          <t>Erfüllungsgrad (ohne n.a.)</t>
        </is>
      </c>
      <c r="C50" s="4">
        <f>IFERROR(C40/(C35-C43),0)</f>
        <v/>
      </c>
      <c r="D50" s="15" t="inlineStr">
        <is>
          <t>Erledigt geteilt durch anwendbare Kontrollpunkte</t>
        </is>
      </c>
      <c r="E50" s="23" t="n"/>
      <c r="F50" s="24" t="n"/>
    </row>
    <row r="51" ht="15" customHeight="1">
      <c r="B51" s="2" t="inlineStr">
        <is>
          <t>Offene Pflicht-Punkte</t>
        </is>
      </c>
      <c r="C51" s="5">
        <f>COUNTIFS(Checkliste!E:E,"Pflicht",Checkliste!I:I,"Offen")+COUNTIFS(Checkliste!E:E,"Pflicht",Checkliste!I:I,"Teilweise")</f>
        <v/>
      </c>
      <c r="D51" s="15" t="inlineStr">
        <is>
          <t>Muss vor der Abnahme auf 0 stehen</t>
        </is>
      </c>
      <c r="E51" s="23" t="n"/>
      <c r="F51" s="24" t="n"/>
    </row>
    <row r="53" ht="19.5" customHeight="1">
      <c r="B53" s="13" t="inlineStr">
        <is>
          <t>Verwendung und Lizenzrahmen</t>
        </is>
      </c>
      <c r="C53" s="23" t="n"/>
      <c r="D53" s="23" t="n"/>
      <c r="E53" s="23" t="n"/>
      <c r="F53" s="24" t="n"/>
    </row>
    <row r="54" ht="150" customHeight="1">
      <c r="B54" s="17" t="inlineStr">
        <is>
          <t>Diese Datei dient gleichzeitig als Best-Practice-Vorgabe und als Einrichtungs-Kontrolle. Die Soll-Werte sind allgemeine Härtungsvorgaben, keine kundenspezifischen Werte. Beim Einrichten je Zeile den Ist-Wert eintragen und den Status setzen, so wird nichts übersehen. Jede Zeile mit Status n.a. benötigt zwingend eine Begründung in der Spalte Bemerkung.
Lizenzrahmen: Microsoft 365 Business Premium enthält Entra ID P1, Intune Plan 1, Defender for Business und Defender for Office 365 Plan 1. NICHT enthalten und nur als Upgrade-Hinweis geführt: risikobasierter Conditional Access, Identity Protection und PIM (Entra ID P2), Live Response und Advanced Hunting (Defender for Endpoint Plan 2), Attack Simulation Training (Defender for Office 365 Plan 2), Endpoint DLP und Teams-Chat-DLP (E5), Credential Guard (Windows Enterprise oder Education). Der heutige Upgrade-Pfad ist das gebündelte Add-on Defender Suite für Business Premium.
Hinweis zur Aktualität: Microsoft hat mehrere der hier genannten Zeitpläne bereits verschoben, insbesondere zur Deaktivierung von Basic Authentication für SMTP AUTH. Vor Kundenkommunikation den aktuellen Stand im Message Center prüfen.</t>
        </is>
      </c>
      <c r="C54" s="23" t="n"/>
      <c r="D54" s="23" t="n"/>
      <c r="E54" s="23" t="n"/>
      <c r="F54" s="24" t="n"/>
    </row>
    <row r="56" ht="19.5" customHeight="1">
      <c r="B56" s="13" t="inlineStr">
        <is>
          <t>Änderungen gegenüber Version 1.0</t>
        </is>
      </c>
      <c r="C56" s="23" t="n"/>
      <c r="D56" s="23" t="n"/>
      <c r="E56" s="23" t="n"/>
      <c r="F56" s="24" t="n"/>
    </row>
    <row r="57" ht="15" customHeight="1">
      <c r="B57" s="16" t="inlineStr">
        <is>
          <t>Bereich</t>
        </is>
      </c>
      <c r="C57" s="16" t="inlineStr">
        <is>
          <t>Änderung</t>
        </is>
      </c>
      <c r="D57" s="23" t="n"/>
      <c r="E57" s="23" t="n"/>
      <c r="F57" s="24" t="n"/>
    </row>
    <row r="58" ht="39" customHeight="1">
      <c r="B58" s="2" t="inlineStr">
        <is>
          <t>Korrektur B-26 (vorher B-23)</t>
        </is>
      </c>
      <c r="C58" s="15" t="inlineStr">
        <is>
          <t>Credential Guard von Best Practice auf Optional herabgestuft und mit Lizenzhinweis versehen. Auf Windows Pro bzw. Windows 11 Business nicht unterstützt und nicht lizenziert. LSA-Schutz als eigene Zeile B-25 herausgelöst.</t>
        </is>
      </c>
      <c r="D58" s="23" t="n"/>
      <c r="E58" s="23" t="n"/>
      <c r="F58" s="24" t="n"/>
    </row>
    <row r="59" ht="27.75" customHeight="1">
      <c r="B59" s="2" t="inlineStr">
        <is>
          <t>Korrektur C-12 (vorher C-09)</t>
        </is>
      </c>
      <c r="C59" s="15" t="inlineStr">
        <is>
          <t>Safe Attachments: Soll-Wert von 'Blockieren, Dynamic Delivery' auf 'Blockieren' korrigiert. Beide Aktionen schliessen sich gegenseitig aus.</t>
        </is>
      </c>
      <c r="D59" s="23" t="n"/>
      <c r="E59" s="23" t="n"/>
      <c r="F59" s="24" t="n"/>
    </row>
    <row r="60" ht="27.75" customHeight="1">
      <c r="B60" s="2" t="inlineStr">
        <is>
          <t>Korrektur C-04</t>
        </is>
      </c>
      <c r="C60" s="15" t="inlineStr">
        <is>
          <t>Live Response entfernt, da Defender for Endpoint Plan 2. Ergänzt: mehrere erweiterte Funktionen sind in Defender for Business bereits ab Werk aktiv.</t>
        </is>
      </c>
      <c r="D60" s="23" t="n"/>
      <c r="E60" s="23" t="n"/>
      <c r="F60" s="24" t="n"/>
    </row>
    <row r="61" ht="27.75" customHeight="1">
      <c r="B61" s="2" t="inlineStr">
        <is>
          <t>Korrektur ASR Nr. 16</t>
        </is>
      </c>
      <c r="C61" s="15" t="inlineStr">
        <is>
          <t>Regelbezeichnung richtiggestellt: 'Erstellen untergeordneter Prozesse durch die Office-Kommunikationsanwendung blockieren'.</t>
        </is>
      </c>
      <c r="D61" s="23" t="n"/>
      <c r="E61" s="23" t="n"/>
      <c r="F61" s="24" t="n"/>
    </row>
    <row r="62" ht="27.75" customHeight="1">
      <c r="B62" s="2" t="inlineStr">
        <is>
          <t>Struktur Abschnitt C</t>
        </is>
      </c>
      <c r="C62" s="15" t="inlineStr">
        <is>
          <t>Neue Entscheidungszeile C-09 als Weiche zwischen Preset-Weg und Custom-Policy-Weg. Beide Wege parallel greifen nicht. Zeilen C-18 bis C-23 gelten in beiden Fällen.</t>
        </is>
      </c>
      <c r="D62" s="23" t="n"/>
      <c r="E62" s="23" t="n"/>
      <c r="F62" s="24" t="n"/>
    </row>
    <row r="63" ht="64.5" customHeight="1">
      <c r="B63" s="2" t="inlineStr">
        <is>
          <t>Neue Kontrollpunkte</t>
        </is>
      </c>
      <c r="C63" s="15" t="inlineStr">
        <is>
          <t>0-07 Baseline Security Mode, 0-08 Secure Score, A-12 Microsoft-managed CA Policies, A-19 Benutzereinstellungen, A-21 Windows Hello for Business, B-03 Autopilot, B-14 AV-Ausschlüsse, C-08 Defender for Business servers, C-11 Preset-Grenzen, C-20 Verbindungsfilter, D-05 Posteingangsregeln, D-12 Freigabelinks, D-14 Known Folder Move sowie der neue Abschnitt E mit sieben prozessualen Punkten.</t>
        </is>
      </c>
      <c r="D63" s="23" t="n"/>
      <c r="E63" s="23" t="n"/>
      <c r="F63" s="24" t="n"/>
    </row>
    <row r="64" ht="27.75" customHeight="1">
      <c r="B64" s="2" t="inlineStr">
        <is>
          <t>Höherstufungen</t>
        </is>
      </c>
      <c r="C64" s="15" t="inlineStr">
        <is>
          <t>SPF, DKIM und DMARC von Best Practice auf Pflicht. Windows LAPS von Best Practice auf Pflicht. Basis-DLP von Optional auf Best Practice.</t>
        </is>
      </c>
      <c r="D64" s="23" t="n"/>
      <c r="E64" s="23" t="n"/>
      <c r="F64" s="24" t="n"/>
    </row>
    <row r="65" ht="51.75" customHeight="1">
      <c r="B65" s="2" t="inlineStr">
        <is>
          <t>Präzisierungen</t>
        </is>
      </c>
      <c r="C65" s="15" t="inlineStr">
        <is>
          <t>0-02 Break-Glass um die MFA-Pflicht ergänzt. A-01 Security Defaults an den CA-Grundschutz gekoppelt. B-09 mit False-Positive-Warnung und korrekter Timeout-Erklärung. D-01 und D-02 als Verifikations- statt Einrichtungspunkte. D-03 auf SMTP AUTH und den Zeitplan vom 27.01.2026 umgestellt. A-13 auf die Defender Suite für Business Premium aktualisiert.</t>
        </is>
      </c>
      <c r="D65" s="23" t="n"/>
      <c r="E65" s="23" t="n"/>
      <c r="F65" s="24" t="n"/>
    </row>
    <row r="66" ht="39" customHeight="1">
      <c r="B66" s="2" t="inlineStr">
        <is>
          <t>Technisch</t>
        </is>
      </c>
      <c r="C66" s="15" t="inlineStr">
        <is>
          <t>Umlaute vereinheitlicht, ASR-Anhang in die Fortschrittszählung aufgenommen, Erfüllungsgrad und offene Pflicht-Punkte als neue Kennzahlen, Felder für Prüfturnus und nächste Überprüfung ergänzt, Tippfehler in A-20 korrigiert.</t>
        </is>
      </c>
      <c r="D66" s="23" t="n"/>
      <c r="E66" s="23" t="n"/>
      <c r="F66" s="24" t="n"/>
    </row>
  </sheetData>
  <mergeCells count="55">
    <mergeCell ref="C61:F61"/>
    <mergeCell ref="C17:F17"/>
    <mergeCell ref="C23:F23"/>
    <mergeCell ref="C8:F8"/>
    <mergeCell ref="B16:F16"/>
    <mergeCell ref="D41:F41"/>
    <mergeCell ref="B54:F54"/>
    <mergeCell ref="B3:F3"/>
    <mergeCell ref="C7:F7"/>
    <mergeCell ref="D48:F48"/>
    <mergeCell ref="B31:F31"/>
    <mergeCell ref="B22:F22"/>
    <mergeCell ref="C57:F57"/>
    <mergeCell ref="C19:F19"/>
    <mergeCell ref="D47:F47"/>
    <mergeCell ref="B56:F56"/>
    <mergeCell ref="C66:F66"/>
    <mergeCell ref="D43:F43"/>
    <mergeCell ref="C13:F13"/>
    <mergeCell ref="C18:F18"/>
    <mergeCell ref="B2:F2"/>
    <mergeCell ref="D37:F37"/>
    <mergeCell ref="C6:F6"/>
    <mergeCell ref="C30:F30"/>
    <mergeCell ref="C62:F62"/>
    <mergeCell ref="C24:F24"/>
    <mergeCell ref="C58:F58"/>
    <mergeCell ref="C14:F14"/>
    <mergeCell ref="D42:F42"/>
    <mergeCell ref="D51:F51"/>
    <mergeCell ref="D38:F38"/>
    <mergeCell ref="B29:F29"/>
    <mergeCell ref="B53:F53"/>
    <mergeCell ref="C64:F64"/>
    <mergeCell ref="C20:F20"/>
    <mergeCell ref="C26:F26"/>
    <mergeCell ref="D35:F35"/>
    <mergeCell ref="D50:F50"/>
    <mergeCell ref="C25:F25"/>
    <mergeCell ref="C63:F63"/>
    <mergeCell ref="C10:F10"/>
    <mergeCell ref="C65:F65"/>
    <mergeCell ref="D34:F34"/>
    <mergeCell ref="C9:F9"/>
    <mergeCell ref="B33:F33"/>
    <mergeCell ref="D46:F46"/>
    <mergeCell ref="C12:F12"/>
    <mergeCell ref="B5:F5"/>
    <mergeCell ref="D40:F40"/>
    <mergeCell ref="D36:F36"/>
    <mergeCell ref="C59:F59"/>
    <mergeCell ref="D45:F45"/>
    <mergeCell ref="C11:F11"/>
    <mergeCell ref="C27:F27"/>
    <mergeCell ref="C60:F60"/>
  </mergeCells>
  <dataValidations count="1">
    <dataValidation sqref="C30" showDropDown="0" showInputMessage="0" showErrorMessage="0" allowBlank="1" type="list">
      <formula1>"Weg A - Preset,Weg B - Custom Policies,noch offen"</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19"/>
  <sheetViews>
    <sheetView tabSelected="1" zoomScaleNormal="100" workbookViewId="0">
      <pane xSplit="2" ySplit="2" topLeftCell="C3" activePane="bottomRight" state="frozen"/>
      <selection pane="topRight" activeCell="C1" sqref="C1"/>
      <selection pane="bottomLeft" activeCell="A3" sqref="A3"/>
      <selection pane="bottomRight" activeCell="A1" sqref="A1:J1"/>
    </sheetView>
  </sheetViews>
  <sheetFormatPr baseColWidth="10" defaultColWidth="8.7109375" defaultRowHeight="15"/>
  <cols>
    <col width="8" customWidth="1" min="1" max="1"/>
    <col width="17" customWidth="1" min="2" max="2"/>
    <col width="40" customWidth="1" min="3" max="3"/>
    <col width="46" customWidth="1" min="4" max="4"/>
    <col width="12" customWidth="1" min="5" max="5"/>
    <col width="38" customWidth="1" min="6" max="6"/>
    <col width="58" customWidth="1" min="7" max="7"/>
    <col width="24" customWidth="1" min="8" max="8"/>
    <col width="12" customWidth="1" min="9" max="9"/>
    <col width="26" customWidth="1" min="10" max="10"/>
  </cols>
  <sheetData>
    <row r="1" ht="25.5" customHeight="1">
      <c r="A1" s="14" t="inlineStr">
        <is>
          <t>Checkliste  -  Microsoft 365 Business Premium Sicherheits-Einstellungen (Version 1.1)</t>
        </is>
      </c>
    </row>
    <row r="2" ht="30" customHeight="1">
      <c r="A2" s="6" t="inlineStr">
        <is>
          <t>Nr.</t>
        </is>
      </c>
      <c r="B2" s="6" t="inlineStr">
        <is>
          <t>Kategorie</t>
        </is>
      </c>
      <c r="C2" s="6" t="inlineStr">
        <is>
          <t>Einstellung / Kontrollpunkt</t>
        </is>
      </c>
      <c r="D2" s="6" t="inlineStr">
        <is>
          <t>Soll-Wert (Haertungsvorgabe)</t>
        </is>
      </c>
      <c r="E2" s="6" t="inlineStr">
        <is>
          <t>Tier</t>
        </is>
      </c>
      <c r="F2" s="6" t="inlineStr">
        <is>
          <t>Portal / Navigationspfad</t>
        </is>
      </c>
      <c r="G2" s="6" t="inlineStr">
        <is>
          <t>Hinweis / Begruendung</t>
        </is>
      </c>
      <c r="H2" s="6" t="inlineStr">
        <is>
          <t>Ist-Wert / Konfiguriert</t>
        </is>
      </c>
      <c r="I2" s="6" t="inlineStr">
        <is>
          <t>Status</t>
        </is>
      </c>
      <c r="J2" s="6" t="inlineStr">
        <is>
          <t>Bemerkung</t>
        </is>
      </c>
    </row>
    <row r="3" ht="21.75" customHeight="1">
      <c r="A3" s="13" t="inlineStr">
        <is>
          <t>0   Grundlagen &amp; Tenant   ·   Portal: Microsoft 365 Admin Center / Entra</t>
        </is>
      </c>
      <c r="B3" s="23" t="n"/>
      <c r="C3" s="23" t="n"/>
      <c r="D3" s="23" t="n"/>
      <c r="E3" s="23" t="n"/>
      <c r="F3" s="23" t="n"/>
      <c r="G3" s="23" t="n"/>
      <c r="H3" s="23" t="n"/>
      <c r="I3" s="23" t="n"/>
      <c r="J3" s="24" t="n"/>
    </row>
    <row r="4" ht="25.5" customHeight="1">
      <c r="A4" s="7" t="inlineStr">
        <is>
          <t>0-01</t>
        </is>
      </c>
      <c r="B4" s="8" t="inlineStr">
        <is>
          <t>Lizenzierung</t>
        </is>
      </c>
      <c r="C4" s="8" t="inlineStr">
        <is>
          <t>Business-Premium-Lizenzen allen aktiven Nutzern zugewiesen</t>
        </is>
      </c>
      <c r="D4" s="8" t="inlineStr">
        <is>
          <t>Alle produktiven Konten lizenziert; keine unlizenzierten Postfächer mit Zugriff</t>
        </is>
      </c>
      <c r="E4" s="9" t="inlineStr">
        <is>
          <t>Pflicht</t>
        </is>
      </c>
      <c r="F4" s="8" t="inlineStr">
        <is>
          <t>M365 Admin &gt; Abrechnung &gt; Lizenzen</t>
        </is>
      </c>
      <c r="G4" s="8" t="inlineStr">
        <is>
          <t>Voraussetzung für Intune, Defender for Business und Entra ID P1.</t>
        </is>
      </c>
      <c r="H4" s="10" t="n"/>
      <c r="I4" s="11" t="inlineStr">
        <is>
          <t>Offen</t>
        </is>
      </c>
      <c r="J4" s="10" t="n"/>
    </row>
    <row r="5" ht="76.5" customHeight="1">
      <c r="A5" s="7" t="inlineStr">
        <is>
          <t>0-02</t>
        </is>
      </c>
      <c r="B5" s="8" t="inlineStr">
        <is>
          <t>Notfallzugang</t>
        </is>
      </c>
      <c r="C5" s="8" t="inlineStr">
        <is>
          <t>Break-Glass-/Notfalladministratoren eingerichtet</t>
        </is>
      </c>
      <c r="D5" s="8" t="inlineStr">
        <is>
          <t>2 Cloud-only-Konten auf onmicrosoft.com, FIDO2/Passkey registriert, von CA ausgenommen, Anmeldungen alarmiert</t>
        </is>
      </c>
      <c r="E5" s="9" t="inlineStr">
        <is>
          <t>Pflicht</t>
        </is>
      </c>
      <c r="F5" s="8" t="inlineStr">
        <is>
          <t>Entra &gt; Benutzer + Entra &gt; Rollen und Administratoren</t>
        </is>
      </c>
      <c r="G5" s="8" t="inlineStr">
        <is>
          <t>Wichtig: CA-Ausnahme bedeutet NICHT MFA-frei. Die verpflichtende MFA-Durchsetzung von Microsoft (Phase 1 ab 10/2024 Azure-, Entra- und Intune-Portal, ab 02/2025 M365 Admin Center, Phase 2 ab 10/2025 für CLI, PowerShell, IaC und REST-API bei Create/Update/Delete) gilt auch für Notfallkonten. Deshalb FIDO2 oder zertifikatsbasierte Auth registrieren.</t>
        </is>
      </c>
      <c r="H5" s="10" t="n"/>
      <c r="I5" s="11" t="inlineStr">
        <is>
          <t>Offen</t>
        </is>
      </c>
      <c r="J5" s="10" t="n"/>
    </row>
    <row r="6" ht="25.5" customHeight="1">
      <c r="A6" s="7" t="inlineStr">
        <is>
          <t>0-03</t>
        </is>
      </c>
      <c r="B6" s="8" t="inlineStr">
        <is>
          <t>Admin-Rollen</t>
        </is>
      </c>
      <c r="C6" s="8" t="inlineStr">
        <is>
          <t>Anzahl Globaler Administratoren minimiert</t>
        </is>
      </c>
      <c r="D6" s="8" t="inlineStr">
        <is>
          <t>2 bis 4 Global Admins; darüber hinaus rollenbasiert (Least Privilege)</t>
        </is>
      </c>
      <c r="E6" s="9" t="inlineStr">
        <is>
          <t>Pflicht</t>
        </is>
      </c>
      <c r="F6" s="8" t="inlineStr">
        <is>
          <t>Entra &gt; Rollen und Administratoren</t>
        </is>
      </c>
      <c r="G6" s="8" t="inlineStr">
        <is>
          <t>Microsoft-Empfehlung: weniger als 5 Global Admins.</t>
        </is>
      </c>
      <c r="H6" s="10" t="n"/>
      <c r="I6" s="11" t="inlineStr">
        <is>
          <t>Offen</t>
        </is>
      </c>
      <c r="J6" s="10" t="n"/>
    </row>
    <row r="7" ht="38.25" customHeight="1">
      <c r="A7" s="7" t="inlineStr">
        <is>
          <t>0-04</t>
        </is>
      </c>
      <c r="B7" s="8" t="inlineStr">
        <is>
          <t>Admin-Rollen</t>
        </is>
      </c>
      <c r="C7" s="8" t="inlineStr">
        <is>
          <t>Getrennte Admin- und Alltagskonten</t>
        </is>
      </c>
      <c r="D7" s="8" t="inlineStr">
        <is>
          <t>Administrative Tätigkeiten ausschliesslich mit dediziertem Admin-Konto, nicht mit dem lizenzierten Nutzerkonto</t>
        </is>
      </c>
      <c r="E7" s="9" t="inlineStr">
        <is>
          <t>Best Practice</t>
        </is>
      </c>
      <c r="F7" s="8" t="inlineStr">
        <is>
          <t>Entra &gt; Benutzer</t>
        </is>
      </c>
      <c r="G7" s="8" t="inlineStr">
        <is>
          <t>Reduziert die Angriffsfläche bei Kompromittierung des Arbeitskontos.</t>
        </is>
      </c>
      <c r="H7" s="10" t="n"/>
      <c r="I7" s="11" t="inlineStr">
        <is>
          <t>Offen</t>
        </is>
      </c>
      <c r="J7" s="10" t="n"/>
    </row>
    <row r="8" ht="25.5" customHeight="1">
      <c r="A8" s="7" t="inlineStr">
        <is>
          <t>0-05</t>
        </is>
      </c>
      <c r="B8" s="8" t="inlineStr">
        <is>
          <t>Kontakt</t>
        </is>
      </c>
      <c r="C8" s="8" t="inlineStr">
        <is>
          <t>Sicherheits- und technische Kontakte hinterlegt</t>
        </is>
      </c>
      <c r="D8" s="8" t="inlineStr">
        <is>
          <t>Security-, Technical- und Marketing-Kontakt gepflegt; Verteiler statt Einzelperson</t>
        </is>
      </c>
      <c r="E8" s="9" t="inlineStr">
        <is>
          <t>Best Practice</t>
        </is>
      </c>
      <c r="F8" s="8" t="inlineStr">
        <is>
          <t>M365 Admin &gt; Einstellungen &gt; Organisationsprofil</t>
        </is>
      </c>
      <c r="G8" s="8" t="inlineStr">
        <is>
          <t>Empfang von Sicherheits- und Service-Meldungen sicherstellen.</t>
        </is>
      </c>
      <c r="H8" s="10" t="n"/>
      <c r="I8" s="11" t="inlineStr">
        <is>
          <t>Offen</t>
        </is>
      </c>
      <c r="J8" s="10" t="n"/>
    </row>
    <row r="9" ht="51" customHeight="1">
      <c r="A9" s="7" t="inlineStr">
        <is>
          <t>0-06</t>
        </is>
      </c>
      <c r="B9" s="8" t="inlineStr">
        <is>
          <t>Beschaffung</t>
        </is>
      </c>
      <c r="C9" s="8" t="inlineStr">
        <is>
          <t>Self-Service-Kauf (Self-Service Purchase) deaktiviert</t>
        </is>
      </c>
      <c r="D9" s="8" t="inlineStr">
        <is>
          <t>AllowSelfServicePurchase = Disabled für die relevanten Produkte</t>
        </is>
      </c>
      <c r="E9" s="9" t="inlineStr">
        <is>
          <t>Optional</t>
        </is>
      </c>
      <c r="F9" s="8" t="inlineStr">
        <is>
          <t>PowerShell: Update-MSCommerceProductPolicy -PolicyId AllowSelfServicePurchase -ProductId &lt;ID&gt; -Enabled $false</t>
        </is>
      </c>
      <c r="G9" s="8" t="inlineStr">
        <is>
          <t>Verhindert Schatten-IT durch Nutzerkäufe. Modul: MSCommerce.</t>
        </is>
      </c>
      <c r="H9" s="10" t="n"/>
      <c r="I9" s="11" t="inlineStr">
        <is>
          <t>Offen</t>
        </is>
      </c>
      <c r="J9" s="10" t="n"/>
    </row>
    <row r="10" ht="63.75" customHeight="1">
      <c r="A10" s="7" t="inlineStr">
        <is>
          <t>0-07</t>
        </is>
      </c>
      <c r="B10" s="8" t="inlineStr">
        <is>
          <t>Baseline</t>
        </is>
      </c>
      <c r="C10" s="8" t="inlineStr">
        <is>
          <t>Baseline Security Mode geprüft und angewendet</t>
        </is>
      </c>
      <c r="D10" s="8" t="inlineStr">
        <is>
          <t>Alle Empfehlungen gesichtet; Impact-Report je Einstellung gelaufen; Einstellungen ohne Nutzerauswirkung aktiviert, übrige bewusst entschieden</t>
        </is>
      </c>
      <c r="E10" s="9" t="inlineStr">
        <is>
          <t>Pflicht</t>
        </is>
      </c>
      <c r="F10" s="8" t="inlineStr">
        <is>
          <t>M365 Admin &gt; Einstellungen &gt; Org-Einstellungen &gt; Sicherheit und Datenschutz &gt; Baseline Security Mode</t>
        </is>
      </c>
      <c r="G10" s="8" t="inlineStr">
        <is>
          <t>NEU in v1.1. Seit Ignite 2025, GA-Rollout bis Ende 01/2026. Erste Phase: 12 Authentifizierungs-, 6 Datei- und 2 Raumgeräte-Einstellungen über Office, Exchange, Teams, SharePoint/OneDrive und Entra. Achtung: greift direkt auf Organisationsebene ohne gestufte Ausrollung, deshalb vorher Impact-Report.</t>
        </is>
      </c>
      <c r="H10" s="10" t="n"/>
      <c r="I10" s="11" t="inlineStr">
        <is>
          <t>Offen</t>
        </is>
      </c>
      <c r="J10" s="10" t="n"/>
    </row>
    <row r="11" ht="25.5" customHeight="1">
      <c r="A11" s="7" t="inlineStr">
        <is>
          <t>0-08</t>
        </is>
      </c>
      <c r="B11" s="8" t="inlineStr">
        <is>
          <t>Messung</t>
        </is>
      </c>
      <c r="C11" s="8" t="inlineStr">
        <is>
          <t>Microsoft Secure Score erfasst und Zielwert vereinbart</t>
        </is>
      </c>
      <c r="D11" s="8" t="inlineStr">
        <is>
          <t>Ausgangswert dokumentiert, realistischer Zielwert mit Kunde vereinbart, Prüfturnus festgelegt</t>
        </is>
      </c>
      <c r="E11" s="9" t="inlineStr">
        <is>
          <t>Best Practice</t>
        </is>
      </c>
      <c r="F11" s="8" t="inlineStr">
        <is>
          <t>security.microsoft.com &gt; Sicherheitsbewertung (Secure Score)</t>
        </is>
      </c>
      <c r="G11" s="8" t="inlineStr">
        <is>
          <t>NEU in v1.1. Objektive Kennzahl für die Abnahme und für Folgetermine.</t>
        </is>
      </c>
      <c r="H11" s="10" t="n"/>
      <c r="I11" s="11" t="inlineStr">
        <is>
          <t>Offen</t>
        </is>
      </c>
      <c r="J11" s="10" t="n"/>
    </row>
    <row r="12" ht="21.75" customHeight="1">
      <c r="A12" s="13" t="inlineStr">
        <is>
          <t>A   Entra ID  -  Identität &amp; Zugriff   ·   Portal: entra.microsoft.com</t>
        </is>
      </c>
      <c r="B12" s="23" t="n"/>
      <c r="C12" s="23" t="n"/>
      <c r="D12" s="23" t="n"/>
      <c r="E12" s="23" t="n"/>
      <c r="F12" s="23" t="n"/>
      <c r="G12" s="23" t="n"/>
      <c r="H12" s="23" t="n"/>
      <c r="I12" s="23" t="n"/>
      <c r="J12" s="24" t="n"/>
    </row>
    <row r="13" ht="38.25" customHeight="1">
      <c r="A13" s="7" t="inlineStr">
        <is>
          <t>A-01</t>
        </is>
      </c>
      <c r="B13" s="8" t="inlineStr">
        <is>
          <t>Security Defaults</t>
        </is>
      </c>
      <c r="C13" s="8" t="inlineStr">
        <is>
          <t>Security Defaults deaktiviert UND CA-Grundschutz aktiv</t>
        </is>
      </c>
      <c r="D13" s="8" t="inlineStr">
        <is>
          <t>Sicherheitsstandards deaktiviert und die Richtlinien A-04 bis A-06 im Zustand 'Ein'</t>
        </is>
      </c>
      <c r="E13" s="9" t="inlineStr">
        <is>
          <t>Pflicht</t>
        </is>
      </c>
      <c r="F13" s="8" t="inlineStr">
        <is>
          <t>Entra &gt; Übersicht &gt; Eigenschaften &gt; Sicherheitsstandards verwalten</t>
        </is>
      </c>
      <c r="G13" s="8" t="inlineStr">
        <is>
          <t>Formulierung gegenüber v1.0 verschärft. Security Defaults allein zu deaktivieren ist eine Verschlechterung. Der Punkt gilt erst als erledigt, wenn der CA-Ersatz scharf ist.</t>
        </is>
      </c>
      <c r="H13" s="10" t="n"/>
      <c r="I13" s="11" t="inlineStr">
        <is>
          <t>Offen</t>
        </is>
      </c>
      <c r="J13" s="10" t="n"/>
    </row>
    <row r="14" ht="25.5" customHeight="1">
      <c r="A14" s="7" t="inlineStr">
        <is>
          <t>A-02</t>
        </is>
      </c>
      <c r="B14" s="8" t="inlineStr">
        <is>
          <t>Auth-Methoden</t>
        </is>
      </c>
      <c r="C14" s="8" t="inlineStr">
        <is>
          <t>Auf konvergierte Registrierung migriert</t>
        </is>
      </c>
      <c r="D14" s="8" t="inlineStr">
        <is>
          <t>Migration abgeschlossen; Verwaltung ausschliesslich unter 'Authentifizierungsmethoden'</t>
        </is>
      </c>
      <c r="E14" s="9" t="inlineStr">
        <is>
          <t>Pflicht</t>
        </is>
      </c>
      <c r="F14" s="8" t="inlineStr">
        <is>
          <t>Entra &gt; Schutz &gt; Authentifizierungsmethoden &gt; Richtlinien</t>
        </is>
      </c>
      <c r="G14" s="8" t="inlineStr">
        <is>
          <t>Löst die Legacy-MFA- und SSPR-Einstellungen ab.</t>
        </is>
      </c>
      <c r="H14" s="10" t="n"/>
      <c r="I14" s="11" t="inlineStr">
        <is>
          <t>Offen</t>
        </is>
      </c>
      <c r="J14" s="10" t="n"/>
    </row>
    <row r="15" ht="38.25" customHeight="1">
      <c r="A15" s="7" t="inlineStr">
        <is>
          <t>A-03</t>
        </is>
      </c>
      <c r="B15" s="8" t="inlineStr">
        <is>
          <t>Auth-Methoden</t>
        </is>
      </c>
      <c r="C15" s="8" t="inlineStr">
        <is>
          <t>Starke Methoden bevorzugt, schwache eingeschränkt</t>
        </is>
      </c>
      <c r="D15" s="8" t="inlineStr">
        <is>
          <t>Authenticator (Number Matching und Anmeldekontext) sowie FIDO2/Passkey aktiv; SMS und Sprachanruf deaktiviert oder nachrangig</t>
        </is>
      </c>
      <c r="E15" s="9" t="inlineStr">
        <is>
          <t>Best Practice</t>
        </is>
      </c>
      <c r="F15" s="8" t="inlineStr">
        <is>
          <t>Entra &gt; Schutz &gt; Authentifizierungsmethoden</t>
        </is>
      </c>
      <c r="G15" s="8" t="inlineStr">
        <is>
          <t>Number Matching ist seit 2023 tenantweit erzwungen. Ziel für Admins: phishing-resistente MFA.</t>
        </is>
      </c>
      <c r="H15" s="10" t="n"/>
      <c r="I15" s="11" t="inlineStr">
        <is>
          <t>Offen</t>
        </is>
      </c>
      <c r="J15" s="10" t="n"/>
    </row>
    <row r="16" ht="25.5" customHeight="1">
      <c r="A16" s="7" t="inlineStr">
        <is>
          <t>A-04</t>
        </is>
      </c>
      <c r="B16" s="8" t="inlineStr">
        <is>
          <t>MFA</t>
        </is>
      </c>
      <c r="C16" s="8" t="inlineStr">
        <is>
          <t>CA: MFA für alle Benutzer erzwingen</t>
        </is>
      </c>
      <c r="D16" s="8" t="inlineStr">
        <is>
          <t>Alle Cloud-Apps, alle Nutzer ausser Break-Glass, Gewährung = MFA erforderlich</t>
        </is>
      </c>
      <c r="E16" s="9" t="inlineStr">
        <is>
          <t>Pflicht</t>
        </is>
      </c>
      <c r="F16" s="8" t="inlineStr">
        <is>
          <t>Entra &gt; Schutz &gt; Conditional Access &gt; Richtlinien</t>
        </is>
      </c>
      <c r="G16" s="8" t="inlineStr">
        <is>
          <t>Deckt Microsofts MFA-Pflicht ab. Microsoft beziffert die Wirkung mit über 99 Prozent weniger Kontoübernahmen (Herstellerangabe).</t>
        </is>
      </c>
      <c r="H16" s="10" t="n"/>
      <c r="I16" s="11" t="inlineStr">
        <is>
          <t>Offen</t>
        </is>
      </c>
      <c r="J16" s="10" t="n"/>
    </row>
    <row r="17" ht="38.25" customHeight="1">
      <c r="A17" s="7" t="inlineStr">
        <is>
          <t>A-05</t>
        </is>
      </c>
      <c r="B17" s="8" t="inlineStr">
        <is>
          <t>MFA</t>
        </is>
      </c>
      <c r="C17" s="8" t="inlineStr">
        <is>
          <t>CA: MFA für alle Administratorrollen erzwingen</t>
        </is>
      </c>
      <c r="D17" s="8" t="inlineStr">
        <is>
          <t>Verzeichnisrollen (Global Admin und weitere), keine Ausnahme, Authentifizierungsstärke = phishing-resistent</t>
        </is>
      </c>
      <c r="E17" s="9" t="inlineStr">
        <is>
          <t>Pflicht</t>
        </is>
      </c>
      <c r="F17" s="8" t="inlineStr">
        <is>
          <t>Entra &gt; Conditional Access &gt; Richtlinien</t>
        </is>
      </c>
      <c r="G17" s="8" t="inlineStr">
        <is>
          <t>Admins sind primäres Angriffsziel. Authentifizierungsstärken sind in Entra ID P1 enthalten.</t>
        </is>
      </c>
      <c r="H17" s="10" t="n"/>
      <c r="I17" s="11" t="inlineStr">
        <is>
          <t>Offen</t>
        </is>
      </c>
      <c r="J17" s="10" t="n"/>
    </row>
    <row r="18" ht="25.5" customHeight="1">
      <c r="A18" s="7" t="inlineStr">
        <is>
          <t>A-06</t>
        </is>
      </c>
      <c r="B18" s="8" t="inlineStr">
        <is>
          <t>Legacy-Auth</t>
        </is>
      </c>
      <c r="C18" s="8" t="inlineStr">
        <is>
          <t>CA: Legacy-Authentifizierung blockieren</t>
        </is>
      </c>
      <c r="D18" s="8" t="inlineStr">
        <is>
          <t>Clients 'Andere Clients / Legacyauthentifizierung' = Blockieren für alle Nutzer</t>
        </is>
      </c>
      <c r="E18" s="9" t="inlineStr">
        <is>
          <t>Pflicht</t>
        </is>
      </c>
      <c r="F18" s="8" t="inlineStr">
        <is>
          <t>Entra &gt; Conditional Access &gt; Richtlinien</t>
        </is>
      </c>
      <c r="G18" s="8" t="inlineStr">
        <is>
          <t>Legacy-Protokolle umgehen MFA.</t>
        </is>
      </c>
      <c r="H18" s="10" t="n"/>
      <c r="I18" s="11" t="inlineStr">
        <is>
          <t>Offen</t>
        </is>
      </c>
      <c r="J18" s="10" t="n"/>
    </row>
    <row r="19" ht="38.25" customHeight="1">
      <c r="A19" s="7" t="inlineStr">
        <is>
          <t>A-07</t>
        </is>
      </c>
      <c r="B19" s="8" t="inlineStr">
        <is>
          <t>Gerätezugriff</t>
        </is>
      </c>
      <c r="C19" s="8" t="inlineStr">
        <is>
          <t>CA: Zugriff nur von konformen oder Entra-hybrid-Geräten</t>
        </is>
      </c>
      <c r="D19" s="8" t="inlineStr">
        <is>
          <t>Gewährung = 'Als konform markiertes Gerät erforderlich' für Windows, mindestens für sensible Apps</t>
        </is>
      </c>
      <c r="E19" s="9" t="inlineStr">
        <is>
          <t>Best Practice</t>
        </is>
      </c>
      <c r="F19" s="8" t="inlineStr">
        <is>
          <t>Entra &gt; Conditional Access &gt; Richtlinien</t>
        </is>
      </c>
      <c r="G19" s="8" t="inlineStr">
        <is>
          <t>Verbindet die Intune-Compliance mit der Zugriffssteuerung. Wirkt nur zusammen mit B-06.</t>
        </is>
      </c>
      <c r="H19" s="10" t="n"/>
      <c r="I19" s="11" t="inlineStr">
        <is>
          <t>Offen</t>
        </is>
      </c>
      <c r="J19" s="10" t="n"/>
    </row>
    <row r="20" ht="25.5" customHeight="1">
      <c r="A20" s="7" t="inlineStr">
        <is>
          <t>A-08</t>
        </is>
      </c>
      <c r="B20" s="8" t="inlineStr">
        <is>
          <t>Sitzung</t>
        </is>
      </c>
      <c r="C20" s="8" t="inlineStr">
        <is>
          <t>CA: Sitzungssteuerung für nicht verwaltete Geräte</t>
        </is>
      </c>
      <c r="D20" s="8" t="inlineStr">
        <is>
          <t>Anmeldehäufigkeit gesetzt und kein persistenter Browser bzw. app-erzwungene Einschränkungen</t>
        </is>
      </c>
      <c r="E20" s="9" t="inlineStr">
        <is>
          <t>Best Practice</t>
        </is>
      </c>
      <c r="F20" s="8" t="inlineStr">
        <is>
          <t>Entra &gt; Conditional Access &gt; Sitzung</t>
        </is>
      </c>
      <c r="G20" s="8" t="inlineStr">
        <is>
          <t>Begrenzt das Risiko auf privaten und nicht verwalteten Geräten.</t>
        </is>
      </c>
      <c r="H20" s="10" t="n"/>
      <c r="I20" s="11" t="inlineStr">
        <is>
          <t>Offen</t>
        </is>
      </c>
      <c r="J20" s="10" t="n"/>
    </row>
    <row r="21" ht="25.5" customHeight="1">
      <c r="A21" s="7" t="inlineStr">
        <is>
          <t>A-09</t>
        </is>
      </c>
      <c r="B21" s="8" t="inlineStr">
        <is>
          <t>Standort</t>
        </is>
      </c>
      <c r="C21" s="8" t="inlineStr">
        <is>
          <t>CA: Länder- und Standortsperre (Named Locations)</t>
        </is>
      </c>
      <c r="D21" s="8" t="inlineStr">
        <is>
          <t>Benannte Standorte definiert; Anmeldung aus nicht benötigten Ländern blockiert</t>
        </is>
      </c>
      <c r="E21" s="9" t="inlineStr">
        <is>
          <t>Optional</t>
        </is>
      </c>
      <c r="F21" s="8" t="inlineStr">
        <is>
          <t>Entra &gt; Conditional Access &gt; Benannte Standorte</t>
        </is>
      </c>
      <c r="G21" s="8" t="inlineStr">
        <is>
          <t>Nur sinnvoll, wenn der Nutzerkreis geografisch eindeutig eingrenzbar ist.</t>
        </is>
      </c>
      <c r="H21" s="10" t="n"/>
      <c r="I21" s="11" t="inlineStr">
        <is>
          <t>Offen</t>
        </is>
      </c>
      <c r="J21" s="10" t="n"/>
    </row>
    <row r="22" ht="25.5" customHeight="1">
      <c r="A22" s="7" t="inlineStr">
        <is>
          <t>A-10</t>
        </is>
      </c>
      <c r="B22" s="8" t="inlineStr">
        <is>
          <t>Gastzugriff</t>
        </is>
      </c>
      <c r="C22" s="8" t="inlineStr">
        <is>
          <t>CA: Gastzugriff einschränken</t>
        </is>
      </c>
      <c r="D22" s="8" t="inlineStr">
        <is>
          <t>Separate Richtlinie für Gäste (MFA, eingeschränkte App-Auswahl)</t>
        </is>
      </c>
      <c r="E22" s="9" t="inlineStr">
        <is>
          <t>Optional</t>
        </is>
      </c>
      <c r="F22" s="8" t="inlineStr">
        <is>
          <t>Entra &gt; Conditional Access &gt; Richtlinien</t>
        </is>
      </c>
      <c r="G22" s="8" t="inlineStr">
        <is>
          <t>Nur bei aktiver externer Zusammenarbeit.</t>
        </is>
      </c>
      <c r="H22" s="10" t="n"/>
      <c r="I22" s="11" t="inlineStr">
        <is>
          <t>Offen</t>
        </is>
      </c>
      <c r="J22" s="10" t="n"/>
    </row>
    <row r="23" ht="25.5" customHeight="1">
      <c r="A23" s="7" t="inlineStr">
        <is>
          <t>A-11</t>
        </is>
      </c>
      <c r="B23" s="8" t="inlineStr">
        <is>
          <t>Rollout</t>
        </is>
      </c>
      <c r="C23" s="8" t="inlineStr">
        <is>
          <t>CA-Richtlinien vor Aktivierung im Report-Only-Modus getestet</t>
        </is>
      </c>
      <c r="D23" s="8" t="inlineStr">
        <is>
          <t>Jede neue oder geänderte Richtlinie zunächst 'Nur Bericht', Auswertung, dann scharf</t>
        </is>
      </c>
      <c r="E23" s="9" t="inlineStr">
        <is>
          <t>Best Practice</t>
        </is>
      </c>
      <c r="F23" s="8" t="inlineStr">
        <is>
          <t>Entra &gt; Conditional Access &gt; Richtlinien + Was-wäre-wenn</t>
        </is>
      </c>
      <c r="G23" s="8" t="inlineStr">
        <is>
          <t>Verhindert versehentliche Aussperrung.</t>
        </is>
      </c>
      <c r="H23" s="10" t="n"/>
      <c r="I23" s="11" t="inlineStr">
        <is>
          <t>Offen</t>
        </is>
      </c>
      <c r="J23" s="10" t="n"/>
    </row>
    <row r="24" ht="63.75" customHeight="1">
      <c r="A24" s="7" t="inlineStr">
        <is>
          <t>A-12</t>
        </is>
      </c>
      <c r="B24" s="8" t="inlineStr">
        <is>
          <t>Microsoft-managed</t>
        </is>
      </c>
      <c r="C24" s="8" t="inlineStr">
        <is>
          <t>Microsoft-managed CA-Richtlinien inventarisiert</t>
        </is>
      </c>
      <c r="D24" s="8" t="inlineStr">
        <is>
          <t>Alle von Microsoft angelegten Richtlinien gesichtet, bewusst auf Ein oder Aus gesetzt, Break-Glass-Konten ausgeschlossen</t>
        </is>
      </c>
      <c r="E24" s="9" t="inlineStr">
        <is>
          <t>Pflicht</t>
        </is>
      </c>
      <c r="F24" s="8" t="inlineStr">
        <is>
          <t>Entra &gt; Conditional Access &gt; Richtlinien (Typ: Microsoft-verwaltet)</t>
        </is>
      </c>
      <c r="G24" s="8" t="inlineStr">
        <is>
          <t>NEU in v1.1. Microsoft legt diese Richtlinien automatisch im Zustand 'Nur Bericht' an und aktiviert sie frühestens 30 Tage später selbsttätig, wenn nichts geschieht. Ankündigung 2 Wochen vorher per Mail und Message Center. Ohne Ausschluss der Notfallkonten drohen unbeabsichtigte Sperren.</t>
        </is>
      </c>
      <c r="H24" s="10" t="n"/>
      <c r="I24" s="11" t="inlineStr">
        <is>
          <t>Offen</t>
        </is>
      </c>
      <c r="J24" s="10" t="n"/>
    </row>
    <row r="25" ht="76.5" customHeight="1">
      <c r="A25" s="7" t="inlineStr">
        <is>
          <t>A-13</t>
        </is>
      </c>
      <c r="B25" s="8" t="inlineStr">
        <is>
          <t>Lizenz-Hinweis</t>
        </is>
      </c>
      <c r="C25" s="8" t="inlineStr">
        <is>
          <t>Risikobasierter CA, Identity Protection und PIM</t>
        </is>
      </c>
      <c r="D25" s="8" t="inlineStr">
        <is>
          <t>NICHT in Business Premium enthalten. Als Upgrade-Option dokumentieren: Defender Suite für Business Premium (enthält Entra ID P2 mit Identity Protection und Governance, Defender for Endpoint P2, Defender for Office 365 P2, Defender for Identity, Defender for Cloud Apps)</t>
        </is>
      </c>
      <c r="E25" s="9" t="inlineStr">
        <is>
          <t>Optional</t>
        </is>
      </c>
      <c r="F25" s="8" t="inlineStr">
        <is>
          <t>Entra &gt; Schutz (nur mit P2)</t>
        </is>
      </c>
      <c r="G25" s="8" t="inlineStr">
        <is>
          <t>Gegenüber v1.0 aktualisiert: der Upgrade-Pfad ist heute das gebündelte Defender-Suite-Add-on, nicht mehr das reine Entra-P2-Add-on.</t>
        </is>
      </c>
      <c r="H25" s="10" t="n"/>
      <c r="I25" s="11" t="inlineStr">
        <is>
          <t>Offen</t>
        </is>
      </c>
      <c r="J25" s="10" t="n"/>
    </row>
    <row r="26" ht="25.5" customHeight="1">
      <c r="A26" s="7" t="inlineStr">
        <is>
          <t>A-14</t>
        </is>
      </c>
      <c r="B26" s="8" t="inlineStr">
        <is>
          <t>SSPR</t>
        </is>
      </c>
      <c r="C26" s="8" t="inlineStr">
        <is>
          <t>Self-Service-Passwortrücksetzung aktiviert</t>
        </is>
      </c>
      <c r="D26" s="8" t="inlineStr">
        <is>
          <t>Für alle Nutzer, mindestens 2 Methoden erforderlich, Registrierung erzwungen</t>
        </is>
      </c>
      <c r="E26" s="9" t="inlineStr">
        <is>
          <t>Best Practice</t>
        </is>
      </c>
      <c r="F26" s="8" t="inlineStr">
        <is>
          <t>Entra &gt; Schutz &gt; Kennwortzurücksetzung</t>
        </is>
      </c>
      <c r="G26" s="8" t="inlineStr">
        <is>
          <t>Kombinierte Registrierung gemeinsam mit MFA.</t>
        </is>
      </c>
      <c r="H26" s="10" t="n"/>
      <c r="I26" s="11" t="inlineStr">
        <is>
          <t>Offen</t>
        </is>
      </c>
      <c r="J26" s="10" t="n"/>
    </row>
    <row r="27" ht="38.25" customHeight="1">
      <c r="A27" s="7" t="inlineStr">
        <is>
          <t>A-15</t>
        </is>
      </c>
      <c r="B27" s="8" t="inlineStr">
        <is>
          <t>Passwortschutz</t>
        </is>
      </c>
      <c r="C27" s="8" t="inlineStr">
        <is>
          <t>Entra Password Protection und Smart Lockout</t>
        </is>
      </c>
      <c r="D27" s="8" t="inlineStr">
        <is>
          <t>Kundenspezifische gesperrte Passwortliste aktiv (Firmenname, Ort, Produkte); Smart Lockout geprüft</t>
        </is>
      </c>
      <c r="E27" s="9" t="inlineStr">
        <is>
          <t>Best Practice</t>
        </is>
      </c>
      <c r="F27" s="8" t="inlineStr">
        <is>
          <t>Entra &gt; Schutz &gt; Authentifizierungsmethoden &gt; Kennwortschutz</t>
        </is>
      </c>
      <c r="G27" s="8" t="inlineStr">
        <is>
          <t>Blockiert schwache und erratbare Passwörter.</t>
        </is>
      </c>
      <c r="H27" s="10" t="n"/>
      <c r="I27" s="11" t="inlineStr">
        <is>
          <t>Offen</t>
        </is>
      </c>
      <c r="J27" s="10" t="n"/>
    </row>
    <row r="28" ht="38.25" customHeight="1">
      <c r="A28" s="7" t="inlineStr">
        <is>
          <t>A-16</t>
        </is>
      </c>
      <c r="B28" s="8" t="inlineStr">
        <is>
          <t>Passwortrichtlinie</t>
        </is>
      </c>
      <c r="C28" s="8" t="inlineStr">
        <is>
          <t>Passwort-Ablauf auf 'läuft nie ab' gesetzt</t>
        </is>
      </c>
      <c r="D28" s="8" t="inlineStr">
        <is>
          <t>Kein erzwungener periodischer Wechsel bei aktiver MFA</t>
        </is>
      </c>
      <c r="E28" s="9" t="inlineStr">
        <is>
          <t>Best Practice</t>
        </is>
      </c>
      <c r="F28" s="8" t="inlineStr">
        <is>
          <t>M365 Admin &gt; Einstellungen &gt; Org-Einstellungen &gt; Sicherheit und Datenschutz &gt; Kennwortablaufrichtlinie</t>
        </is>
      </c>
      <c r="G28" s="8" t="inlineStr">
        <is>
          <t>NIST SP 800-63B. Für neue Tenants ist das bereits Microsofts Default. Erzwungene Wechsel fördern schwache Muster.</t>
        </is>
      </c>
      <c r="H28" s="10" t="n"/>
      <c r="I28" s="11" t="inlineStr">
        <is>
          <t>Offen</t>
        </is>
      </c>
      <c r="J28" s="10" t="n"/>
    </row>
    <row r="29" ht="25.5" customHeight="1">
      <c r="A29" s="7" t="inlineStr">
        <is>
          <t>A-17</t>
        </is>
      </c>
      <c r="B29" s="8" t="inlineStr">
        <is>
          <t>Externe Zusammenarbeit</t>
        </is>
      </c>
      <c r="C29" s="8" t="inlineStr">
        <is>
          <t>Gasteinladungsberechtigungen eingeschränkt</t>
        </is>
      </c>
      <c r="D29" s="8" t="inlineStr">
        <is>
          <t>Nur Admins bzw. berechtigte Rollen dürfen einladen; Gastberechtigungen eingeschränkt</t>
        </is>
      </c>
      <c r="E29" s="9" t="inlineStr">
        <is>
          <t>Best Practice</t>
        </is>
      </c>
      <c r="F29" s="8" t="inlineStr">
        <is>
          <t>Entra &gt; Externe Identitäten &gt; Einstellungen für externe Zusammenarbeit</t>
        </is>
      </c>
      <c r="G29" s="8" t="inlineStr">
        <is>
          <t>Reduziert unkontrollierten externen Zugriff.</t>
        </is>
      </c>
      <c r="H29" s="10" t="n"/>
      <c r="I29" s="11" t="inlineStr">
        <is>
          <t>Offen</t>
        </is>
      </c>
      <c r="J29" s="10" t="n"/>
    </row>
    <row r="30" ht="38.25" customHeight="1">
      <c r="A30" s="7" t="inlineStr">
        <is>
          <t>A-18</t>
        </is>
      </c>
      <c r="B30" s="8" t="inlineStr">
        <is>
          <t>App-Zustimmung</t>
        </is>
      </c>
      <c r="C30" s="8" t="inlineStr">
        <is>
          <t>Nutzer-Zustimmung eingeschränkt, Admin-Consent-Workflow aktiv</t>
        </is>
      </c>
      <c r="D30" s="8" t="inlineStr">
        <is>
          <t>Benutzerzustimmung nur für verifizierte Herausgeber und Berechtigungen mit geringem Risiko; Admin-Consent-Anfrage aktiviert</t>
        </is>
      </c>
      <c r="E30" s="9" t="inlineStr">
        <is>
          <t>Best Practice</t>
        </is>
      </c>
      <c r="F30" s="8" t="inlineStr">
        <is>
          <t>Entra &gt; Unternehmensanwendungen &gt; Zustimmung und Berechtigungen</t>
        </is>
      </c>
      <c r="G30" s="8" t="inlineStr">
        <is>
          <t>Schutz vor OAuth- und Consent-Phishing.</t>
        </is>
      </c>
      <c r="H30" s="10" t="n"/>
      <c r="I30" s="11" t="inlineStr">
        <is>
          <t>Offen</t>
        </is>
      </c>
      <c r="J30" s="10" t="n"/>
    </row>
    <row r="31" ht="38.25" customHeight="1">
      <c r="A31" s="7" t="inlineStr">
        <is>
          <t>A-19</t>
        </is>
      </c>
      <c r="B31" s="8" t="inlineStr">
        <is>
          <t>Benutzereinstellungen</t>
        </is>
      </c>
      <c r="C31" s="8" t="inlineStr">
        <is>
          <t>App-Registrierung und Tenant-Erstellung gesperrt</t>
        </is>
      </c>
      <c r="D31" s="8" t="inlineStr">
        <is>
          <t>'Benutzer können Anwendungen registrieren' = Nein; 'Benutzer können Tenants erstellen' = Nein; Portalzugriff für Nicht-Admins eingeschränkt</t>
        </is>
      </c>
      <c r="E31" s="9" t="inlineStr">
        <is>
          <t>Best Practice</t>
        </is>
      </c>
      <c r="F31" s="8" t="inlineStr">
        <is>
          <t>Entra &gt; Benutzer &gt; Benutzereinstellungen</t>
        </is>
      </c>
      <c r="G31" s="8" t="inlineStr">
        <is>
          <t>NEU in v1.1. Verhindert unkontrollierte App-Registrierungen und Test-Tenants unter der Firmenidentität.</t>
        </is>
      </c>
      <c r="H31" s="10" t="n"/>
      <c r="I31" s="11" t="inlineStr">
        <is>
          <t>Offen</t>
        </is>
      </c>
      <c r="J31" s="10" t="n"/>
    </row>
    <row r="32" ht="38.25" customHeight="1">
      <c r="A32" s="7" t="inlineStr">
        <is>
          <t>A-20</t>
        </is>
      </c>
      <c r="B32" s="8" t="inlineStr">
        <is>
          <t>Geräteregistrierung</t>
        </is>
      </c>
      <c r="C32" s="8" t="inlineStr">
        <is>
          <t>Geräteeinstellungen: MFA für Join und Registrierung</t>
        </is>
      </c>
      <c r="D32" s="8" t="inlineStr">
        <is>
          <t>MFA für Entra-Join und Geräteregistrierung erforderlich; lokale Administratoren auf Geräten gesteuert</t>
        </is>
      </c>
      <c r="E32" s="9" t="inlineStr">
        <is>
          <t>Best Practice</t>
        </is>
      </c>
      <c r="F32" s="8" t="inlineStr">
        <is>
          <t>Entra &gt; Geräte &gt; Geräteeinstellungen</t>
        </is>
      </c>
      <c r="G32" s="8" t="inlineStr">
        <is>
          <t>Verhindert unautorisierten Gerätebeitritt. Tippfehler aus v1.0 korrigiert.</t>
        </is>
      </c>
      <c r="H32" s="10" t="n"/>
      <c r="I32" s="11" t="inlineStr">
        <is>
          <t>Offen</t>
        </is>
      </c>
      <c r="J32" s="10" t="n"/>
    </row>
    <row r="33" ht="38.25" customHeight="1">
      <c r="A33" s="7" t="inlineStr">
        <is>
          <t>A-21</t>
        </is>
      </c>
      <c r="B33" s="8" t="inlineStr">
        <is>
          <t>Passwordless</t>
        </is>
      </c>
      <c r="C33" s="8" t="inlineStr">
        <is>
          <t>Windows Hello for Business bzw. Passkey-Rollout</t>
        </is>
      </c>
      <c r="D33" s="8" t="inlineStr">
        <is>
          <t>Ausrollstrategie definiert; Hello for Business per Intune konfiguriert oder Passkeys für Schlüsselnutzer registriert</t>
        </is>
      </c>
      <c r="E33" s="9" t="inlineStr">
        <is>
          <t>Best Practice</t>
        </is>
      </c>
      <c r="F33" s="8" t="inlineStr">
        <is>
          <t>Intune &gt; Geräte &gt; Registrierung &gt; Windows Hello for Business + Entra &gt; Authentifizierungsmethoden</t>
        </is>
      </c>
      <c r="G33" s="8" t="inlineStr">
        <is>
          <t>NEU in v1.1. Grundlage für phishing-resistente Anmeldung am Endpunkt.</t>
        </is>
      </c>
      <c r="H33" s="10" t="n"/>
      <c r="I33" s="11" t="inlineStr">
        <is>
          <t>Offen</t>
        </is>
      </c>
      <c r="J33" s="10" t="n"/>
    </row>
    <row r="34" ht="21.75" customHeight="1">
      <c r="A34" s="13" t="inlineStr">
        <is>
          <t>B   Intune  -  Geräte &amp; Endpoint Security   ·   Portal: intune.microsoft.com</t>
        </is>
      </c>
      <c r="B34" s="23" t="n"/>
      <c r="C34" s="23" t="n"/>
      <c r="D34" s="23" t="n"/>
      <c r="E34" s="23" t="n"/>
      <c r="F34" s="23" t="n"/>
      <c r="G34" s="23" t="n"/>
      <c r="H34" s="23" t="n"/>
      <c r="I34" s="23" t="n"/>
      <c r="J34" s="24" t="n"/>
    </row>
    <row r="35" ht="25.5" customHeight="1">
      <c r="A35" s="7" t="inlineStr">
        <is>
          <t>B-01</t>
        </is>
      </c>
      <c r="B35" s="8" t="inlineStr">
        <is>
          <t>Enrollment</t>
        </is>
      </c>
      <c r="C35" s="8" t="inlineStr">
        <is>
          <t>Automatische Windows-Registrierung (MDM) aktiviert</t>
        </is>
      </c>
      <c r="D35" s="8" t="inlineStr">
        <is>
          <t>MDM-Benutzerbereich = Alle; automatische Registrierung beim Entra-Join</t>
        </is>
      </c>
      <c r="E35" s="9" t="inlineStr">
        <is>
          <t>Pflicht</t>
        </is>
      </c>
      <c r="F35" s="8" t="inlineStr">
        <is>
          <t>Intune &gt; Geräte &gt; Registrierung &gt; Automatische Registrierung</t>
        </is>
      </c>
      <c r="G35" s="8" t="inlineStr">
        <is>
          <t>Grundlage für alle weiteren Geräterichtlinien.</t>
        </is>
      </c>
      <c r="H35" s="10" t="n"/>
      <c r="I35" s="11" t="inlineStr">
        <is>
          <t>Offen</t>
        </is>
      </c>
      <c r="J35" s="10" t="n"/>
    </row>
    <row r="36" ht="38.25" customHeight="1">
      <c r="A36" s="7" t="inlineStr">
        <is>
          <t>B-02</t>
        </is>
      </c>
      <c r="B36" s="8" t="inlineStr">
        <is>
          <t>Enrollment</t>
        </is>
      </c>
      <c r="C36" s="8" t="inlineStr">
        <is>
          <t>Registrierungseinschränkungen konfiguriert</t>
        </is>
      </c>
      <c r="D36" s="8" t="inlineStr">
        <is>
          <t>Erlaubte Plattformen definiert; private Geräte blockiert oder bewusst zugelassen (BYOD-Entscheidung dokumentiert)</t>
        </is>
      </c>
      <c r="E36" s="9" t="inlineStr">
        <is>
          <t>Best Practice</t>
        </is>
      </c>
      <c r="F36" s="8" t="inlineStr">
        <is>
          <t>Intune &gt; Geräte &gt; Registrierung &gt; Registrierungseinschränkungen</t>
        </is>
      </c>
      <c r="G36" s="8" t="inlineStr">
        <is>
          <t>Kontrolliert, welche Geräte überhaupt beitreten dürfen.</t>
        </is>
      </c>
      <c r="H36" s="10" t="n"/>
      <c r="I36" s="11" t="inlineStr">
        <is>
          <t>Offen</t>
        </is>
      </c>
      <c r="J36" s="10" t="n"/>
    </row>
    <row r="37" ht="38.25" customHeight="1">
      <c r="A37" s="7" t="inlineStr">
        <is>
          <t>B-03</t>
        </is>
      </c>
      <c r="B37" s="8" t="inlineStr">
        <is>
          <t>Bereitstellung</t>
        </is>
      </c>
      <c r="C37" s="8" t="inlineStr">
        <is>
          <t>Windows Autopilot bzw. Bereitstellungsverfahren definiert</t>
        </is>
      </c>
      <c r="D37" s="8" t="inlineStr">
        <is>
          <t>Autopilot-Profil vorhanden oder bewusste Entscheidung für manuelles Provisioning dokumentiert</t>
        </is>
      </c>
      <c r="E37" s="9" t="inlineStr">
        <is>
          <t>Optional</t>
        </is>
      </c>
      <c r="F37" s="8" t="inlineStr">
        <is>
          <t>Intune &gt; Geräte &gt; Registrierung &gt; Windows Autopilot</t>
        </is>
      </c>
      <c r="G37" s="8" t="inlineStr">
        <is>
          <t>NEU in v1.1. Sorgt dafür, dass Neugeräte nie ungehärtet in Betrieb gehen.</t>
        </is>
      </c>
      <c r="H37" s="10" t="n"/>
      <c r="I37" s="11" t="inlineStr">
        <is>
          <t>Offen</t>
        </is>
      </c>
      <c r="J37" s="10" t="n"/>
    </row>
    <row r="38" ht="25.5" customHeight="1">
      <c r="A38" s="7" t="inlineStr">
        <is>
          <t>B-04</t>
        </is>
      </c>
      <c r="B38" s="8" t="inlineStr">
        <is>
          <t>Compliance</t>
        </is>
      </c>
      <c r="C38" s="8" t="inlineStr">
        <is>
          <t>Windows-Konformitätsrichtlinie aktiv</t>
        </is>
      </c>
      <c r="D38" s="8" t="inlineStr">
        <is>
          <t>BitLocker an, Secure Boot, Defender AV aktiv, Firewall an, Mindest-OS-Build, Codeintegrität</t>
        </is>
      </c>
      <c r="E38" s="9" t="inlineStr">
        <is>
          <t>Pflicht</t>
        </is>
      </c>
      <c r="F38" s="8" t="inlineStr">
        <is>
          <t>Intune &gt; Geräte &gt; Konformität</t>
        </is>
      </c>
      <c r="G38" s="8" t="inlineStr">
        <is>
          <t>Basis für den gerätebasierten CA-Zugriff aus A-07.</t>
        </is>
      </c>
      <c r="H38" s="10" t="n"/>
      <c r="I38" s="11" t="inlineStr">
        <is>
          <t>Offen</t>
        </is>
      </c>
      <c r="J38" s="10" t="n"/>
    </row>
    <row r="39" ht="25.5" customHeight="1">
      <c r="A39" s="7" t="inlineStr">
        <is>
          <t>B-05</t>
        </is>
      </c>
      <c r="B39" s="8" t="inlineStr">
        <is>
          <t>Compliance</t>
        </is>
      </c>
      <c r="C39" s="8" t="inlineStr">
        <is>
          <t>Aktionen bei Nichtkonformität und Kulanzzeitraum</t>
        </is>
      </c>
      <c r="D39" s="8" t="inlineStr">
        <is>
          <t>Nutzer-E-Mail, Kulanzfrist von 1 bis 3 Tagen, danach als nicht konform markieren</t>
        </is>
      </c>
      <c r="E39" s="9" t="inlineStr">
        <is>
          <t>Best Practice</t>
        </is>
      </c>
      <c r="F39" s="8" t="inlineStr">
        <is>
          <t>Intune &gt; Konformität &gt; Richtlinie &gt; Aktionen bei Nichtkonformität</t>
        </is>
      </c>
      <c r="G39" s="8" t="inlineStr">
        <is>
          <t>Verhindert, dass Nutzer ohne Vorwarnung ausgesperrt werden.</t>
        </is>
      </c>
      <c r="H39" s="10" t="n"/>
      <c r="I39" s="11" t="inlineStr">
        <is>
          <t>Offen</t>
        </is>
      </c>
      <c r="J39" s="10" t="n"/>
    </row>
    <row r="40" ht="25.5" customHeight="1">
      <c r="A40" s="7" t="inlineStr">
        <is>
          <t>B-06</t>
        </is>
      </c>
      <c r="B40" s="8" t="inlineStr">
        <is>
          <t>Compliance</t>
        </is>
      </c>
      <c r="C40" s="8" t="inlineStr">
        <is>
          <t>Geräte ohne Konformitätsrichtlinie gelten als nicht konform</t>
        </is>
      </c>
      <c r="D40" s="8" t="inlineStr">
        <is>
          <t>Tenant-Standard auf 'Nicht konform' setzen</t>
        </is>
      </c>
      <c r="E40" s="9" t="inlineStr">
        <is>
          <t>Best Practice</t>
        </is>
      </c>
      <c r="F40" s="8" t="inlineStr">
        <is>
          <t>Intune &gt; Geräte &gt; Konformität &gt; Konformitätsrichtlinieneinstellungen</t>
        </is>
      </c>
      <c r="G40" s="8" t="inlineStr">
        <is>
          <t>Ohne diese Einstellung läuft A-07 ins Leere.</t>
        </is>
      </c>
      <c r="H40" s="10" t="n"/>
      <c r="I40" s="11" t="inlineStr">
        <is>
          <t>Offen</t>
        </is>
      </c>
      <c r="J40" s="10" t="n"/>
    </row>
    <row r="41" ht="25.5" customHeight="1">
      <c r="A41" s="7" t="inlineStr">
        <is>
          <t>B-07</t>
        </is>
      </c>
      <c r="B41" s="8" t="inlineStr">
        <is>
          <t>Compliance</t>
        </is>
      </c>
      <c r="C41" s="8" t="inlineStr">
        <is>
          <t>iOS- und Android-Konformitätsrichtlinie</t>
        </is>
      </c>
      <c r="D41" s="8" t="inlineStr">
        <is>
          <t>Jailbreak- und Root-Erkennung, Verschlüsselung, Mindest-OS, PIN erforderlich</t>
        </is>
      </c>
      <c r="E41" s="9" t="inlineStr">
        <is>
          <t>Best Practice</t>
        </is>
      </c>
      <c r="F41" s="8" t="inlineStr">
        <is>
          <t>Intune &gt; Geräte &gt; Konformität</t>
        </is>
      </c>
      <c r="G41" s="8" t="inlineStr">
        <is>
          <t>Nur bei verwalteten Mobilgeräten relevant, sonst n.a. mit Begründung.</t>
        </is>
      </c>
      <c r="H41" s="10" t="n"/>
      <c r="I41" s="11" t="inlineStr">
        <is>
          <t>Offen</t>
        </is>
      </c>
      <c r="J41" s="10" t="n"/>
    </row>
    <row r="42" ht="25.5" customHeight="1">
      <c r="A42" s="7" t="inlineStr">
        <is>
          <t>B-08</t>
        </is>
      </c>
      <c r="B42" s="8" t="inlineStr">
        <is>
          <t>Antivirus</t>
        </is>
      </c>
      <c r="C42" s="8" t="inlineStr">
        <is>
          <t>Defender Antivirus: Echtzeitschutz aktiviert</t>
        </is>
      </c>
      <c r="D42" s="8" t="inlineStr">
        <is>
          <t>Echtzeitschutz = Ein, dauerhaft, nicht durch Nutzer deaktivierbar</t>
        </is>
      </c>
      <c r="E42" s="9" t="inlineStr">
        <is>
          <t>Pflicht</t>
        </is>
      </c>
      <c r="F42" s="8" t="inlineStr">
        <is>
          <t>Intune &gt; Endpunktsicherheit &gt; Antivirus</t>
        </is>
      </c>
      <c r="G42" s="8" t="inlineStr">
        <is>
          <t>Kernschutz gegen Malware.</t>
        </is>
      </c>
      <c r="H42" s="10" t="n"/>
      <c r="I42" s="11" t="inlineStr">
        <is>
          <t>Offen</t>
        </is>
      </c>
      <c r="J42" s="10" t="n"/>
    </row>
    <row r="43" ht="89.25" customHeight="1">
      <c r="A43" s="7" t="inlineStr">
        <is>
          <t>B-09</t>
        </is>
      </c>
      <c r="B43" s="8" t="inlineStr">
        <is>
          <t>Antivirus</t>
        </is>
      </c>
      <c r="C43" s="8" t="inlineStr">
        <is>
          <t>Cloudbasierter Schutz und Blockierebene</t>
        </is>
      </c>
      <c r="D43" s="8" t="inlineStr">
        <is>
          <t>Cloud-Schutz (MAPS) = Ein, Sample Submission gesetzt, Cloud-Blockierebene = Hoch, Cloud Extended Timeout = 50</t>
        </is>
      </c>
      <c r="E43" s="9" t="inlineStr">
        <is>
          <t>Best Practice</t>
        </is>
      </c>
      <c r="F43" s="8" t="inlineStr">
        <is>
          <t>Intune &gt; Endpunktsicherheit &gt; Antivirus &gt; Microsoft Defender Antivirus</t>
        </is>
      </c>
      <c r="G43" s="8" t="inlineStr">
        <is>
          <t>Korrigiert gegenüber v1.0: Der Timeout-Wert 50 wird zu den 10 Sekunden Grundwert addiert, ergibt also 60 Sekunden gesamt. Cloud-Schutz plus Blockierebene Hoch plus verlängerter Timeout sind die Voraussetzung für Block at First Sight. Achtung: Microsoft weist bei der Stufe Hoch ausdrücklich auf eine erhöhte False-Positive-Rate hin, die Security Baseline verstellt diesen Wert nicht. Vor tenantweitem Rollout auf Pilotgruppe testen.</t>
        </is>
      </c>
      <c r="H43" s="10" t="n"/>
      <c r="I43" s="11" t="inlineStr">
        <is>
          <t>Offen</t>
        </is>
      </c>
      <c r="J43" s="10" t="n"/>
    </row>
    <row r="44" ht="25.5" customHeight="1">
      <c r="A44" s="7" t="inlineStr">
        <is>
          <t>B-10</t>
        </is>
      </c>
      <c r="B44" s="8" t="inlineStr">
        <is>
          <t>Antivirus</t>
        </is>
      </c>
      <c r="C44" s="8" t="inlineStr">
        <is>
          <t>Schutz vor potenziell unerwünschten Apps (PUA) = Blockieren</t>
        </is>
      </c>
      <c r="D44" s="8" t="inlineStr">
        <is>
          <t>PUA-Schutz = Blockieren</t>
        </is>
      </c>
      <c r="E44" s="9" t="inlineStr">
        <is>
          <t>Best Practice</t>
        </is>
      </c>
      <c r="F44" s="8" t="inlineStr">
        <is>
          <t>Intune &gt; Endpunktsicherheit &gt; Antivirus</t>
        </is>
      </c>
      <c r="G44" s="8" t="inlineStr">
        <is>
          <t>Blockiert Adware und Bundleware.</t>
        </is>
      </c>
      <c r="H44" s="10" t="n"/>
      <c r="I44" s="11" t="inlineStr">
        <is>
          <t>Offen</t>
        </is>
      </c>
      <c r="J44" s="10" t="n"/>
    </row>
    <row r="45">
      <c r="A45" s="7" t="inlineStr">
        <is>
          <t>B-11</t>
        </is>
      </c>
      <c r="B45" s="8" t="inlineStr">
        <is>
          <t>Antivirus</t>
        </is>
      </c>
      <c r="C45" s="8" t="inlineStr">
        <is>
          <t>Verhaltensüberwachung aktiviert</t>
        </is>
      </c>
      <c r="D45" s="8" t="inlineStr">
        <is>
          <t>Verhaltensüberwachung = Ein</t>
        </is>
      </c>
      <c r="E45" s="9" t="inlineStr">
        <is>
          <t>Pflicht</t>
        </is>
      </c>
      <c r="F45" s="8" t="inlineStr">
        <is>
          <t>Intune &gt; Endpunktsicherheit &gt; Antivirus</t>
        </is>
      </c>
      <c r="G45" s="8" t="inlineStr">
        <is>
          <t>Erkennt dateilose und verhaltensbasierte Angriffe.</t>
        </is>
      </c>
      <c r="H45" s="10" t="n"/>
      <c r="I45" s="11" t="inlineStr">
        <is>
          <t>Offen</t>
        </is>
      </c>
      <c r="J45" s="10" t="n"/>
    </row>
    <row r="46" ht="25.5" customHeight="1">
      <c r="A46" s="7" t="inlineStr">
        <is>
          <t>B-12</t>
        </is>
      </c>
      <c r="B46" s="8" t="inlineStr">
        <is>
          <t>Antivirus</t>
        </is>
      </c>
      <c r="C46" s="8" t="inlineStr">
        <is>
          <t>Netzwerkschutz (Network Protection) = Blockieren</t>
        </is>
      </c>
      <c r="D46" s="8" t="inlineStr">
        <is>
          <t>Network Protection = Aktiviert (Block), nicht nur Audit</t>
        </is>
      </c>
      <c r="E46" s="9" t="inlineStr">
        <is>
          <t>Best Practice</t>
        </is>
      </c>
      <c r="F46" s="8" t="inlineStr">
        <is>
          <t>Intune &gt; Endpunktsicherheit &gt; Antivirus bzw. Angriffsflächenreduzierung</t>
        </is>
      </c>
      <c r="G46" s="8" t="inlineStr">
        <is>
          <t>Blockiert bekannte bösartige Domänen und IP-Adressen.</t>
        </is>
      </c>
      <c r="H46" s="10" t="n"/>
      <c r="I46" s="11" t="inlineStr">
        <is>
          <t>Offen</t>
        </is>
      </c>
      <c r="J46" s="10" t="n"/>
    </row>
    <row r="47" ht="25.5" customHeight="1">
      <c r="A47" s="7" t="inlineStr">
        <is>
          <t>B-13</t>
        </is>
      </c>
      <c r="B47" s="8" t="inlineStr">
        <is>
          <t>Antivirus</t>
        </is>
      </c>
      <c r="C47" s="8" t="inlineStr">
        <is>
          <t>Scan- und Update-Einstellungen definiert</t>
        </is>
      </c>
      <c r="D47" s="8" t="inlineStr">
        <is>
          <t>Täglicher Schnellscan, Signatur-Update-Intervall stündlich, Catch-up-Scans aktiv</t>
        </is>
      </c>
      <c r="E47" s="9" t="inlineStr">
        <is>
          <t>Best Practice</t>
        </is>
      </c>
      <c r="F47" s="8" t="inlineStr">
        <is>
          <t>Intune &gt; Endpunktsicherheit &gt; Antivirus</t>
        </is>
      </c>
      <c r="G47" s="8" t="inlineStr">
        <is>
          <t>Stellt aktuelle Definitionen und regelmässige Prüfung sicher.</t>
        </is>
      </c>
      <c r="H47" s="10" t="n"/>
      <c r="I47" s="11" t="inlineStr">
        <is>
          <t>Offen</t>
        </is>
      </c>
      <c r="J47" s="10" t="n"/>
    </row>
    <row r="48" ht="38.25" customHeight="1">
      <c r="A48" s="7" t="inlineStr">
        <is>
          <t>B-14</t>
        </is>
      </c>
      <c r="B48" s="8" t="inlineStr">
        <is>
          <t>Antivirus</t>
        </is>
      </c>
      <c r="C48" s="8" t="inlineStr">
        <is>
          <t>AV-Ausschlüsse dokumentiert und minimiert</t>
        </is>
      </c>
      <c r="D48" s="8" t="inlineStr">
        <is>
          <t>Jede Ausnahme mit Grund, Antragsteller und Datum dokumentiert; keine pauschalen Laufwerks- oder Prozessausschlüsse</t>
        </is>
      </c>
      <c r="E48" s="9" t="inlineStr">
        <is>
          <t>Best Practice</t>
        </is>
      </c>
      <c r="F48" s="8" t="inlineStr">
        <is>
          <t>Intune &gt; Endpunktsicherheit &gt; Antivirus &gt; Ausschlüsse</t>
        </is>
      </c>
      <c r="G48" s="8" t="inlineStr">
        <is>
          <t>NEU in v1.1. Ausschlüsse senken den Schutz und sind ein beliebtes Angreiferziel. Ohne Dokumentation ist der Zustand nach zwei Jahren nicht mehr nachvollziehbar.</t>
        </is>
      </c>
      <c r="H48" s="10" t="n"/>
      <c r="I48" s="11" t="inlineStr">
        <is>
          <t>Offen</t>
        </is>
      </c>
      <c r="J48" s="10" t="n"/>
    </row>
    <row r="49" ht="38.25" customHeight="1">
      <c r="A49" s="7" t="inlineStr">
        <is>
          <t>B-15</t>
        </is>
      </c>
      <c r="B49" s="8" t="inlineStr">
        <is>
          <t>Manipulationsschutz</t>
        </is>
      </c>
      <c r="C49" s="8" t="inlineStr">
        <is>
          <t>Tamper Protection aktiviert</t>
        </is>
      </c>
      <c r="D49" s="8" t="inlineStr">
        <is>
          <t>Manipulationsschutz = Ein, tenantweit</t>
        </is>
      </c>
      <c r="E49" s="9" t="inlineStr">
        <is>
          <t>Pflicht</t>
        </is>
      </c>
      <c r="F49" s="8" t="inlineStr">
        <is>
          <t>security.microsoft.com &gt; Einstellungen &gt; Endpunkte &gt; Erweiterte Funktionen bzw. Intune &gt; Endpunktsicherheit &gt; Antivirus</t>
        </is>
      </c>
      <c r="G49" s="8" t="inlineStr">
        <is>
          <t>Verhindert das Deaktivieren von Defender durch Angreifer.</t>
        </is>
      </c>
      <c r="H49" s="10" t="n"/>
      <c r="I49" s="11" t="inlineStr">
        <is>
          <t>Offen</t>
        </is>
      </c>
      <c r="J49" s="10" t="n"/>
    </row>
    <row r="50" ht="25.5" customHeight="1">
      <c r="A50" s="7" t="inlineStr">
        <is>
          <t>B-16</t>
        </is>
      </c>
      <c r="B50" s="8" t="inlineStr">
        <is>
          <t>ASR</t>
        </is>
      </c>
      <c r="C50" s="8" t="inlineStr">
        <is>
          <t>Angriffsflächenreduzierung im Blockmodus</t>
        </is>
      </c>
      <c r="D50" s="8" t="inlineStr">
        <is>
          <t>Empfohlener ASR-Regelsatz auf Blockieren (siehe Blatt 'Anhang ASR-Regeln'); vorher Audit-Phase</t>
        </is>
      </c>
      <c r="E50" s="9" t="inlineStr">
        <is>
          <t>Best Practice</t>
        </is>
      </c>
      <c r="F50" s="8" t="inlineStr">
        <is>
          <t>Intune &gt; Endpunktsicherheit &gt; Angriffsflächenreduzierung</t>
        </is>
      </c>
      <c r="G50" s="8" t="inlineStr">
        <is>
          <t>Deckt Makro-, Skript-, LSASS- und Ransomware-Vektoren ab. Ausnahmen in B-14 mitdokumentieren.</t>
        </is>
      </c>
      <c r="H50" s="10" t="n"/>
      <c r="I50" s="11" t="inlineStr">
        <is>
          <t>Offen</t>
        </is>
      </c>
      <c r="J50" s="10" t="n"/>
    </row>
    <row r="51" ht="25.5" customHeight="1">
      <c r="A51" s="7" t="inlineStr">
        <is>
          <t>B-17</t>
        </is>
      </c>
      <c r="B51" s="8" t="inlineStr">
        <is>
          <t>ASR</t>
        </is>
      </c>
      <c r="C51" s="8" t="inlineStr">
        <is>
          <t>Überwachter Ordnerzugriff (Controlled Folder Access)</t>
        </is>
      </c>
      <c r="D51" s="8" t="inlineStr">
        <is>
          <t>Zunächst Audit, dann Block; Ausnahmen für benötigte Fachanwendungen</t>
        </is>
      </c>
      <c r="E51" s="9" t="inlineStr">
        <is>
          <t>Optional</t>
        </is>
      </c>
      <c r="F51" s="8" t="inlineStr">
        <is>
          <t>Intune &gt; Endpunktsicherheit &gt; Angriffsflächenreduzierung</t>
        </is>
      </c>
      <c r="G51" s="8" t="inlineStr">
        <is>
          <t>Zusätzlicher Ransomware-Schutz. Fehlkonfiguration bricht Fachanwendungen, deshalb gründlich testen.</t>
        </is>
      </c>
      <c r="H51" s="10" t="n"/>
      <c r="I51" s="11" t="inlineStr">
        <is>
          <t>Offen</t>
        </is>
      </c>
      <c r="J51" s="10" t="n"/>
    </row>
    <row r="52" ht="25.5" customHeight="1">
      <c r="A52" s="7" t="inlineStr">
        <is>
          <t>B-18</t>
        </is>
      </c>
      <c r="B52" s="8" t="inlineStr">
        <is>
          <t>Firewall</t>
        </is>
      </c>
      <c r="C52" s="8" t="inlineStr">
        <is>
          <t>Windows-Firewall aktiviert (Domäne, Privat, Öffentlich)</t>
        </is>
      </c>
      <c r="D52" s="8" t="inlineStr">
        <is>
          <t>Alle drei Profile = Ein, durch Nutzer nicht deaktivierbar</t>
        </is>
      </c>
      <c r="E52" s="9" t="inlineStr">
        <is>
          <t>Pflicht</t>
        </is>
      </c>
      <c r="F52" s="8" t="inlineStr">
        <is>
          <t>Intune &gt; Endpunktsicherheit &gt; Firewall</t>
        </is>
      </c>
      <c r="G52" s="8" t="inlineStr">
        <is>
          <t>Grundlegender Netzwerkschutz.</t>
        </is>
      </c>
      <c r="H52" s="10" t="n"/>
      <c r="I52" s="11" t="inlineStr">
        <is>
          <t>Offen</t>
        </is>
      </c>
      <c r="J52" s="10" t="n"/>
    </row>
    <row r="53" ht="25.5" customHeight="1">
      <c r="A53" s="7" t="inlineStr">
        <is>
          <t>B-19</t>
        </is>
      </c>
      <c r="B53" s="8" t="inlineStr">
        <is>
          <t>Firewall</t>
        </is>
      </c>
      <c r="C53" s="8" t="inlineStr">
        <is>
          <t>Standardverhalten: eingehend blockieren</t>
        </is>
      </c>
      <c r="D53" s="8" t="inlineStr">
        <is>
          <t>Eingehende Verbindungen standardmässig blockieren, ausgehend erlauben</t>
        </is>
      </c>
      <c r="E53" s="9" t="inlineStr">
        <is>
          <t>Pflicht</t>
        </is>
      </c>
      <c r="F53" s="8" t="inlineStr">
        <is>
          <t>Intune &gt; Endpunktsicherheit &gt; Firewall</t>
        </is>
      </c>
      <c r="G53" s="8" t="inlineStr">
        <is>
          <t>Least Privilege auf Netzwerkebene.</t>
        </is>
      </c>
      <c r="H53" s="10" t="n"/>
      <c r="I53" s="11" t="inlineStr">
        <is>
          <t>Offen</t>
        </is>
      </c>
      <c r="J53" s="10" t="n"/>
    </row>
    <row r="54" ht="25.5" customHeight="1">
      <c r="A54" s="7" t="inlineStr">
        <is>
          <t>B-20</t>
        </is>
      </c>
      <c r="B54" s="8" t="inlineStr">
        <is>
          <t>Firewall</t>
        </is>
      </c>
      <c r="C54" s="8" t="inlineStr">
        <is>
          <t>Zusammenführen lokaler Regeln gesteuert</t>
        </is>
      </c>
      <c r="D54" s="8" t="inlineStr">
        <is>
          <t>Bei striktem Modell: Merge lokaler Regeln = Nein, nur zentrale Regeln</t>
        </is>
      </c>
      <c r="E54" s="9" t="inlineStr">
        <is>
          <t>Optional</t>
        </is>
      </c>
      <c r="F54" s="8" t="inlineStr">
        <is>
          <t>Intune &gt; Endpunktsicherheit &gt; Firewall</t>
        </is>
      </c>
      <c r="G54" s="8" t="inlineStr">
        <is>
          <t>Nur wählen, wenn die zentrale Regelverwaltung wirklich gepflegt wird.</t>
        </is>
      </c>
      <c r="H54" s="10" t="n"/>
      <c r="I54" s="11" t="inlineStr">
        <is>
          <t>Offen</t>
        </is>
      </c>
      <c r="J54" s="10" t="n"/>
    </row>
    <row r="55" ht="25.5" customHeight="1">
      <c r="A55" s="7" t="inlineStr">
        <is>
          <t>B-21</t>
        </is>
      </c>
      <c r="B55" s="8" t="inlineStr">
        <is>
          <t>Verschlüsselung</t>
        </is>
      </c>
      <c r="C55" s="8" t="inlineStr">
        <is>
          <t>BitLocker erzwungen</t>
        </is>
      </c>
      <c r="D55" s="8" t="inlineStr">
        <is>
          <t>OS-Laufwerk aktiv, XTS-AES 256 Bit, stille Aktivierung</t>
        </is>
      </c>
      <c r="E55" s="9" t="inlineStr">
        <is>
          <t>Pflicht</t>
        </is>
      </c>
      <c r="F55" s="8" t="inlineStr">
        <is>
          <t>Intune &gt; Endpunktsicherheit &gt; Datenträgerverschlüsselung</t>
        </is>
      </c>
      <c r="G55" s="8" t="inlineStr">
        <is>
          <t>Schutz bei Geräteverlust und Diebstahl. Microsoft-Default wäre XTS-AES 128.</t>
        </is>
      </c>
      <c r="H55" s="10" t="n"/>
      <c r="I55" s="11" t="inlineStr">
        <is>
          <t>Offen</t>
        </is>
      </c>
      <c r="J55" s="10" t="n"/>
    </row>
    <row r="56" ht="25.5" customHeight="1">
      <c r="A56" s="7" t="inlineStr">
        <is>
          <t>B-22</t>
        </is>
      </c>
      <c r="B56" s="8" t="inlineStr">
        <is>
          <t>Verschlüsselung</t>
        </is>
      </c>
      <c r="C56" s="8" t="inlineStr">
        <is>
          <t>Wiederherstellungsschlüssel in Entra gesichert</t>
        </is>
      </c>
      <c r="D56" s="8" t="inlineStr">
        <is>
          <t>Recovery-Key-Escrow nach Entra ID aktiviert UND stichprobenartig verifiziert</t>
        </is>
      </c>
      <c r="E56" s="9" t="inlineStr">
        <is>
          <t>Pflicht</t>
        </is>
      </c>
      <c r="F56" s="8" t="inlineStr">
        <is>
          <t>Intune &gt; Endpunktsicherheit &gt; Datenträgerverschlüsselung</t>
        </is>
      </c>
      <c r="G56" s="8" t="inlineStr">
        <is>
          <t>Ohne funktionierendes Escrow droht Datenverlust. Escrow separat prüfen, nicht nur die Richtlinie.</t>
        </is>
      </c>
      <c r="H56" s="10" t="n"/>
      <c r="I56" s="11" t="inlineStr">
        <is>
          <t>Offen</t>
        </is>
      </c>
      <c r="J56" s="10" t="n"/>
    </row>
    <row r="57" ht="38.25" customHeight="1">
      <c r="A57" s="7" t="inlineStr">
        <is>
          <t>B-23</t>
        </is>
      </c>
      <c r="B57" s="8" t="inlineStr">
        <is>
          <t>Kontoschutz</t>
        </is>
      </c>
      <c r="C57" s="8" t="inlineStr">
        <is>
          <t>Windows LAPS aktiviert</t>
        </is>
      </c>
      <c r="D57" s="8" t="inlineStr">
        <is>
          <t>Lokales Administratorkonto verwaltet, Passwort rotiert, in Entra gesichert</t>
        </is>
      </c>
      <c r="E57" s="9" t="inlineStr">
        <is>
          <t>Pflicht</t>
        </is>
      </c>
      <c r="F57" s="8" t="inlineStr">
        <is>
          <t>Intune &gt; Endpunktsicherheit &gt; Kontoschutz + Entra &gt; Geräte &gt; Lokale Administratorkennwortlösung</t>
        </is>
      </c>
      <c r="G57" s="8" t="inlineStr">
        <is>
          <t>Von Best Practice auf Pflicht hochgestuft. Ein identisches lokales Admin-Passwort auf allen Endpunkten ist der klassische Lateral-Movement-Pfad im KMU.</t>
        </is>
      </c>
      <c r="H57" s="10" t="n"/>
      <c r="I57" s="11" t="inlineStr">
        <is>
          <t>Offen</t>
        </is>
      </c>
      <c r="J57" s="10" t="n"/>
    </row>
    <row r="58" ht="25.5" customHeight="1">
      <c r="A58" s="7" t="inlineStr">
        <is>
          <t>B-24</t>
        </is>
      </c>
      <c r="B58" s="8" t="inlineStr">
        <is>
          <t>Kontoschutz</t>
        </is>
      </c>
      <c r="C58" s="8" t="inlineStr">
        <is>
          <t>Mitgliedschaft der lokalen Admin-Gruppe gesteuert</t>
        </is>
      </c>
      <c r="D58" s="8" t="inlineStr">
        <is>
          <t>Lokale Administratorengruppe per Richtlinie definiert; kein Standardnutzer als lokaler Admin</t>
        </is>
      </c>
      <c r="E58" s="9" t="inlineStr">
        <is>
          <t>Best Practice</t>
        </is>
      </c>
      <c r="F58" s="8" t="inlineStr">
        <is>
          <t>Intune &gt; Endpunktsicherheit &gt; Kontoschutz</t>
        </is>
      </c>
      <c r="G58" s="8" t="inlineStr">
        <is>
          <t>Least Privilege am Endpunkt.</t>
        </is>
      </c>
      <c r="H58" s="10" t="n"/>
      <c r="I58" s="11" t="inlineStr">
        <is>
          <t>Offen</t>
        </is>
      </c>
      <c r="J58" s="10" t="n"/>
    </row>
    <row r="59" ht="38.25" customHeight="1">
      <c r="A59" s="7" t="inlineStr">
        <is>
          <t>B-25</t>
        </is>
      </c>
      <c r="B59" s="8" t="inlineStr">
        <is>
          <t>Kontoschutz</t>
        </is>
      </c>
      <c r="C59" s="8" t="inlineStr">
        <is>
          <t>LSA-Schutz (RunAsPPL) aktiviert</t>
        </is>
      </c>
      <c r="D59" s="8" t="inlineStr">
        <is>
          <t>LSA läuft als geschützter Prozess (RunAsPPL)</t>
        </is>
      </c>
      <c r="E59" s="9" t="inlineStr">
        <is>
          <t>Best Practice</t>
        </is>
      </c>
      <c r="F59" s="8" t="inlineStr">
        <is>
          <t>Intune &gt; Konfigurationsprofile bzw. Sicherheitsbaseline</t>
        </is>
      </c>
      <c r="G59" s="8" t="inlineStr">
        <is>
          <t>Aus der v1.0-Zeile B-23 herausgelöst. LSA-Schutz läuft auf Windows Pro und ist bei Neuinstallationen ab Windows 11 22H2 bereits Standard, deshalb primär verifizieren.</t>
        </is>
      </c>
      <c r="H59" s="10" t="n"/>
      <c r="I59" s="11" t="inlineStr">
        <is>
          <t>Offen</t>
        </is>
      </c>
      <c r="J59" s="10" t="n"/>
    </row>
    <row r="60" ht="63.75" customHeight="1">
      <c r="A60" s="7" t="inlineStr">
        <is>
          <t>B-26</t>
        </is>
      </c>
      <c r="B60" s="8" t="inlineStr">
        <is>
          <t>Kontoschutz</t>
        </is>
      </c>
      <c r="C60" s="8" t="inlineStr">
        <is>
          <t>Credential Guard  -  LIZENZPRÜFUNG ERFORDERLICH</t>
        </is>
      </c>
      <c r="D60" s="8" t="inlineStr">
        <is>
          <t>Nur umsetzbar mit Windows Enterprise oder Education. Mit Microsoft 365 Business Premium (Windows 11 Business auf Pro-Basis) NICHT lizenziert und auf Pro nicht unterstützt</t>
        </is>
      </c>
      <c r="E60" s="9" t="inlineStr">
        <is>
          <t>Optional</t>
        </is>
      </c>
      <c r="F60" s="8" t="inlineStr">
        <is>
          <t>Intune &gt; Konfigurationsprofile (nur bei passender Windows-Lizenz)</t>
        </is>
      </c>
      <c r="G60" s="8" t="inlineStr">
        <is>
          <t>KORREKTUR gegenüber v1.0. Microsoft führt Windows Pro und Pro Education in der Editionstabelle für Credential Guard mit 'Nein'; die Lizenzberechtigung kommt nur über Windows Enterprise E3/E5 oder Education A3/A5. Falls ohne Enterprise-Lizenz: Status auf n.a. setzen und Begründung eintragen.</t>
        </is>
      </c>
      <c r="H60" s="10" t="n"/>
      <c r="I60" s="11" t="inlineStr">
        <is>
          <t>Offen</t>
        </is>
      </c>
      <c r="J60" s="10" t="n"/>
    </row>
    <row r="61" ht="25.5" customHeight="1">
      <c r="A61" s="7" t="inlineStr">
        <is>
          <t>B-27</t>
        </is>
      </c>
      <c r="B61" s="8" t="inlineStr">
        <is>
          <t>Updates</t>
        </is>
      </c>
      <c r="C61" s="8" t="inlineStr">
        <is>
          <t>Windows-Update-Ringe konfiguriert</t>
        </is>
      </c>
      <c r="D61" s="8" t="inlineStr">
        <is>
          <t>Pilot- und Breitenring, Fristen für Qualitäts- und Feature-Updates, Zwangsneustart mit Frist</t>
        </is>
      </c>
      <c r="E61" s="9" t="inlineStr">
        <is>
          <t>Best Practice</t>
        </is>
      </c>
      <c r="F61" s="8" t="inlineStr">
        <is>
          <t>Intune &gt; Geräte &gt; Windows-Updates &gt; Updateringe</t>
        </is>
      </c>
      <c r="G61" s="8" t="inlineStr">
        <is>
          <t>Zeitnahes Patchen ist der wirksamste Einzelhebel der Härtung.</t>
        </is>
      </c>
      <c r="H61" s="10" t="n"/>
      <c r="I61" s="11" t="inlineStr">
        <is>
          <t>Offen</t>
        </is>
      </c>
      <c r="J61" s="10" t="n"/>
    </row>
    <row r="62" ht="25.5" customHeight="1">
      <c r="A62" s="7" t="inlineStr">
        <is>
          <t>B-28</t>
        </is>
      </c>
      <c r="B62" s="8" t="inlineStr">
        <is>
          <t>Updates</t>
        </is>
      </c>
      <c r="C62" s="8" t="inlineStr">
        <is>
          <t>Feature-Update-Ziel gesteuert</t>
        </is>
      </c>
      <c r="D62" s="8" t="inlineStr">
        <is>
          <t>Definierte Zielversion; kontrollierter Feature-Update-Rollout</t>
        </is>
      </c>
      <c r="E62" s="9" t="inlineStr">
        <is>
          <t>Optional</t>
        </is>
      </c>
      <c r="F62" s="8" t="inlineStr">
        <is>
          <t>Intune &gt; Geräte &gt; Windows-Updates &gt; Featureupdates</t>
        </is>
      </c>
      <c r="G62" s="8" t="inlineStr">
        <is>
          <t>Vermeidet unkontrollierte Versionssprünge.</t>
        </is>
      </c>
      <c r="H62" s="10" t="n"/>
      <c r="I62" s="11" t="inlineStr">
        <is>
          <t>Offen</t>
        </is>
      </c>
      <c r="J62" s="10" t="n"/>
    </row>
    <row r="63" ht="25.5" customHeight="1">
      <c r="A63" s="7" t="inlineStr">
        <is>
          <t>B-29</t>
        </is>
      </c>
      <c r="B63" s="8" t="inlineStr">
        <is>
          <t>Baselines</t>
        </is>
      </c>
      <c r="C63" s="8" t="inlineStr">
        <is>
          <t>Sicherheitsbaseline für Windows zugewiesen</t>
        </is>
      </c>
      <c r="D63" s="8" t="inlineStr">
        <is>
          <t>Security Baseline (Windows 10/11) zugewiesen und bewusst getunt, Konflikte geprüft</t>
        </is>
      </c>
      <c r="E63" s="9" t="inlineStr">
        <is>
          <t>Best Practice</t>
        </is>
      </c>
      <c r="F63" s="8" t="inlineStr">
        <is>
          <t>Intune &gt; Endpunktsicherheit &gt; Sicherheitsbaselines</t>
        </is>
      </c>
      <c r="G63" s="8" t="inlineStr">
        <is>
          <t>Konflikte mit eigenen Konfigurationsprofilen vor dem Rollout auflösen.</t>
        </is>
      </c>
      <c r="H63" s="10" t="n"/>
      <c r="I63" s="11" t="inlineStr">
        <is>
          <t>Offen</t>
        </is>
      </c>
      <c r="J63" s="10" t="n"/>
    </row>
    <row r="64" ht="25.5" customHeight="1">
      <c r="A64" s="7" t="inlineStr">
        <is>
          <t>B-30</t>
        </is>
      </c>
      <c r="B64" s="8" t="inlineStr">
        <is>
          <t>Baselines</t>
        </is>
      </c>
      <c r="C64" s="8" t="inlineStr">
        <is>
          <t>Defender for Endpoint Security Baseline</t>
        </is>
      </c>
      <c r="D64" s="8" t="inlineStr">
        <is>
          <t>MDE-Baseline zugewiesen, sofern kein Konflikt zur AV- und ASR-Richtlinie besteht</t>
        </is>
      </c>
      <c r="E64" s="9" t="inlineStr">
        <is>
          <t>Best Practice</t>
        </is>
      </c>
      <c r="F64" s="8" t="inlineStr">
        <is>
          <t>Intune &gt; Endpunktsicherheit &gt; Sicherheitsbaselines</t>
        </is>
      </c>
      <c r="G64" s="8" t="inlineStr">
        <is>
          <t>Grundregel: nur EINE führende Quelle je Einstellung.</t>
        </is>
      </c>
      <c r="H64" s="10" t="n"/>
      <c r="I64" s="11" t="inlineStr">
        <is>
          <t>Offen</t>
        </is>
      </c>
      <c r="J64" s="10" t="n"/>
    </row>
    <row r="65" ht="25.5" customHeight="1">
      <c r="A65" s="7" t="inlineStr">
        <is>
          <t>B-31</t>
        </is>
      </c>
      <c r="B65" s="8" t="inlineStr">
        <is>
          <t>Baselines</t>
        </is>
      </c>
      <c r="C65" s="8" t="inlineStr">
        <is>
          <t>Microsoft-Edge-Baseline</t>
        </is>
      </c>
      <c r="D65" s="8" t="inlineStr">
        <is>
          <t>Edge-Sicherheitsbaseline oder Konfigurationsprofil (SmartScreen, Passwortmanager-Richtlinie)</t>
        </is>
      </c>
      <c r="E65" s="9" t="inlineStr">
        <is>
          <t>Optional</t>
        </is>
      </c>
      <c r="F65" s="8" t="inlineStr">
        <is>
          <t>Intune &gt; Endpunktsicherheit &gt; Sicherheitsbaselines</t>
        </is>
      </c>
      <c r="G65" s="8" t="inlineStr">
        <is>
          <t>Browser-Härtung.</t>
        </is>
      </c>
      <c r="H65" s="10" t="n"/>
      <c r="I65" s="11" t="inlineStr">
        <is>
          <t>Offen</t>
        </is>
      </c>
      <c r="J65" s="10" t="n"/>
    </row>
    <row r="66" ht="25.5" customHeight="1">
      <c r="A66" s="7" t="inlineStr">
        <is>
          <t>B-32</t>
        </is>
      </c>
      <c r="B66" s="8" t="inlineStr">
        <is>
          <t>Mobile</t>
        </is>
      </c>
      <c r="C66" s="8" t="inlineStr">
        <is>
          <t>App Protection Policies (MAM) für iOS und Android</t>
        </is>
      </c>
      <c r="D66" s="8" t="inlineStr">
        <is>
          <t>PIN oder Biometrie, Kopier- und Einfügeschutz, selektiver Wipe, Jailbreak-Block</t>
        </is>
      </c>
      <c r="E66" s="9" t="inlineStr">
        <is>
          <t>Best Practice</t>
        </is>
      </c>
      <c r="F66" s="8" t="inlineStr">
        <is>
          <t>Intune &gt; Apps &gt; App-Schutzrichtlinien</t>
        </is>
      </c>
      <c r="G66" s="8" t="inlineStr">
        <is>
          <t>Schützt Unternehmensdaten auch ohne vollständige MDM-Verwaltung.</t>
        </is>
      </c>
      <c r="H66" s="10" t="n"/>
      <c r="I66" s="11" t="inlineStr">
        <is>
          <t>Offen</t>
        </is>
      </c>
      <c r="J66" s="10" t="n"/>
    </row>
    <row r="67" ht="38.25" customHeight="1">
      <c r="A67" s="7" t="inlineStr">
        <is>
          <t>B-33</t>
        </is>
      </c>
      <c r="B67" s="8" t="inlineStr">
        <is>
          <t>Onboarding</t>
        </is>
      </c>
      <c r="C67" s="8" t="inlineStr">
        <is>
          <t>Intune-Defender-Connector aktiv, Geräte onboarded</t>
        </is>
      </c>
      <c r="D67" s="8" t="inlineStr">
        <is>
          <t>Verbindung zwischen Intune und Defender hergestellt; alle Endpunkte im Defender-Portal sichtbar</t>
        </is>
      </c>
      <c r="E67" s="9" t="inlineStr">
        <is>
          <t>Pflicht</t>
        </is>
      </c>
      <c r="F67" s="8" t="inlineStr">
        <is>
          <t>Intune &gt; Endpunktsicherheit &gt; Microsoft Defender for Endpoint</t>
        </is>
      </c>
      <c r="G67" s="8" t="inlineStr">
        <is>
          <t>Voraussetzung für EDR und für die Compliance-Signale.</t>
        </is>
      </c>
      <c r="H67" s="10" t="n"/>
      <c r="I67" s="11" t="inlineStr">
        <is>
          <t>Offen</t>
        </is>
      </c>
      <c r="J67" s="10" t="n"/>
    </row>
    <row r="68" ht="21.75" customHeight="1">
      <c r="A68" s="13" t="inlineStr">
        <is>
          <t>C   Defender  -  Endpoint &amp; E-Mail   ·   Portal: security.microsoft.com</t>
        </is>
      </c>
      <c r="B68" s="23" t="n"/>
      <c r="C68" s="23" t="n"/>
      <c r="D68" s="23" t="n"/>
      <c r="E68" s="23" t="n"/>
      <c r="F68" s="23" t="n"/>
      <c r="G68" s="23" t="n"/>
      <c r="H68" s="23" t="n"/>
      <c r="I68" s="23" t="n"/>
      <c r="J68" s="24" t="n"/>
    </row>
    <row r="69" ht="25.5" customHeight="1">
      <c r="A69" s="7" t="inlineStr">
        <is>
          <t>C-01</t>
        </is>
      </c>
      <c r="B69" s="8" t="inlineStr">
        <is>
          <t>Endpoint</t>
        </is>
      </c>
      <c r="C69" s="8" t="inlineStr">
        <is>
          <t>Onboarding vollständig, alle Endpunkte sichtbar</t>
        </is>
      </c>
      <c r="D69" s="8" t="inlineStr">
        <is>
          <t>Gerätebestand mit Inventar abgeglichen; keine Lücken im Status 'Can be onboarded'</t>
        </is>
      </c>
      <c r="E69" s="9" t="inlineStr">
        <is>
          <t>Pflicht</t>
        </is>
      </c>
      <c r="F69" s="8" t="inlineStr">
        <is>
          <t>security.microsoft.com &gt; Ressourcen &gt; Geräte</t>
        </is>
      </c>
      <c r="G69" s="8" t="inlineStr">
        <is>
          <t>Sichtbarkeit ist Voraussetzung für Schutz.</t>
        </is>
      </c>
      <c r="H69" s="10" t="n"/>
      <c r="I69" s="11" t="inlineStr">
        <is>
          <t>Offen</t>
        </is>
      </c>
      <c r="J69" s="10" t="n"/>
    </row>
    <row r="70" ht="51" customHeight="1">
      <c r="A70" s="7" t="inlineStr">
        <is>
          <t>C-02</t>
        </is>
      </c>
      <c r="B70" s="8" t="inlineStr">
        <is>
          <t>Endpoint</t>
        </is>
      </c>
      <c r="C70" s="8" t="inlineStr">
        <is>
          <t>EDR im Blockmodus verifiziert</t>
        </is>
      </c>
      <c r="D70" s="8" t="inlineStr">
        <is>
          <t>EDR in Block Mode = Ein</t>
        </is>
      </c>
      <c r="E70" s="9" t="inlineStr">
        <is>
          <t>Pflicht</t>
        </is>
      </c>
      <c r="F70" s="8" t="inlineStr">
        <is>
          <t>Defender &gt; Einstellungen &gt; Endpunkte &gt; Erweiterte Funktionen</t>
        </is>
      </c>
      <c r="G70" s="8" t="inlineStr">
        <is>
          <t>Präzisiert gegenüber v1.0: In Defender for Business ist diese Funktion standardmässig aktiviert. Der Kontrollpunkt ist damit eine Verifikation, keine Einrichtung. Wirkt vor allem, wenn Defender AV im passiven Modus neben einem Drittanbieter-AV läuft.</t>
        </is>
      </c>
      <c r="H70" s="10" t="n"/>
      <c r="I70" s="11" t="inlineStr">
        <is>
          <t>Offen</t>
        </is>
      </c>
      <c r="J70" s="10" t="n"/>
    </row>
    <row r="71" ht="25.5" customHeight="1">
      <c r="A71" s="7" t="inlineStr">
        <is>
          <t>C-03</t>
        </is>
      </c>
      <c r="B71" s="8" t="inlineStr">
        <is>
          <t>Endpoint</t>
        </is>
      </c>
      <c r="C71" s="8" t="inlineStr">
        <is>
          <t>Automatisierte Untersuchung und Reaktion (AIR)</t>
        </is>
      </c>
      <c r="D71" s="8" t="inlineStr">
        <is>
          <t>Automatisierungsgrad = vollständige Wiederherstellung; automatische Untersuchung aktiv</t>
        </is>
      </c>
      <c r="E71" s="9" t="inlineStr">
        <is>
          <t>Best Practice</t>
        </is>
      </c>
      <c r="F71" s="8" t="inlineStr">
        <is>
          <t>Defender &gt; Einstellungen &gt; Endpunkte &gt; Erweiterte Funktionen</t>
        </is>
      </c>
      <c r="G71" s="8" t="inlineStr">
        <is>
          <t>Reduziert die manuelle Reaktionszeit erheblich.</t>
        </is>
      </c>
      <c r="H71" s="10" t="n"/>
      <c r="I71" s="11" t="inlineStr">
        <is>
          <t>Offen</t>
        </is>
      </c>
      <c r="J71" s="10" t="n"/>
    </row>
    <row r="72" ht="76.5" customHeight="1">
      <c r="A72" s="7" t="inlineStr">
        <is>
          <t>C-04</t>
        </is>
      </c>
      <c r="B72" s="8" t="inlineStr">
        <is>
          <t>Endpoint</t>
        </is>
      </c>
      <c r="C72" s="8" t="inlineStr">
        <is>
          <t>Erweiterte Funktionen geprüft</t>
        </is>
      </c>
      <c r="D72" s="8" t="inlineStr">
        <is>
          <t>Tamper Protection, Web Content Filtering, Custom Network Indicators und Block at First Sight aktiv</t>
        </is>
      </c>
      <c r="E72" s="9" t="inlineStr">
        <is>
          <t>Best Practice</t>
        </is>
      </c>
      <c r="F72" s="8" t="inlineStr">
        <is>
          <t>Defender &gt; Einstellungen &gt; Endpunkte &gt; Erweiterte Funktionen</t>
        </is>
      </c>
      <c r="G72" s="8" t="inlineStr">
        <is>
          <t>KORREKTUR gegenüber v1.0: Live Response ist ein Feature von Defender for Endpoint Plan 2 und in Defender for Business bzw. Business Premium NICHT enthalten. Mehrere der übrigen Funktionen (EDR in Block Mode, Custom Network Indicators, Web Content Filtering) sind in Defender for Business ab Werk aktiv, hier also nur verifizieren.</t>
        </is>
      </c>
      <c r="H72" s="10" t="n"/>
      <c r="I72" s="11" t="inlineStr">
        <is>
          <t>Offen</t>
        </is>
      </c>
      <c r="J72" s="10" t="n"/>
    </row>
    <row r="73" ht="25.5" customHeight="1">
      <c r="A73" s="7" t="inlineStr">
        <is>
          <t>C-05</t>
        </is>
      </c>
      <c r="B73" s="8" t="inlineStr">
        <is>
          <t>Endpoint</t>
        </is>
      </c>
      <c r="C73" s="8" t="inlineStr">
        <is>
          <t>Webinhaltsfilterung konfiguriert</t>
        </is>
      </c>
      <c r="D73" s="8" t="inlineStr">
        <is>
          <t>Richtlinie mit gesperrten Kategorien (Malware, Phishing, unerwünschte Kategorien)</t>
        </is>
      </c>
      <c r="E73" s="9" t="inlineStr">
        <is>
          <t>Optional</t>
        </is>
      </c>
      <c r="F73" s="8" t="inlineStr">
        <is>
          <t>Defender &gt; Einstellungen &gt; Endpunkte &gt; Webinhaltsfilterung</t>
        </is>
      </c>
      <c r="G73" s="8" t="inlineStr">
        <is>
          <t>Ergänzt den Netzwerkschutz aus B-12.</t>
        </is>
      </c>
      <c r="H73" s="10" t="n"/>
      <c r="I73" s="11" t="inlineStr">
        <is>
          <t>Offen</t>
        </is>
      </c>
      <c r="J73" s="10" t="n"/>
    </row>
    <row r="74" ht="25.5" customHeight="1">
      <c r="A74" s="7" t="inlineStr">
        <is>
          <t>C-06</t>
        </is>
      </c>
      <c r="B74" s="8" t="inlineStr">
        <is>
          <t>TVM</t>
        </is>
      </c>
      <c r="C74" s="8" t="inlineStr">
        <is>
          <t>Sicherheitsrisikomanagement ausgewertet</t>
        </is>
      </c>
      <c r="D74" s="8" t="inlineStr">
        <is>
          <t>Empfehlungen regelmässig gesichtet; kritische Punkte remediiert und dokumentiert</t>
        </is>
      </c>
      <c r="E74" s="9" t="inlineStr">
        <is>
          <t>Best Practice</t>
        </is>
      </c>
      <c r="F74" s="8" t="inlineStr">
        <is>
          <t>Defender &gt; Sicherheitsrisikomanagement</t>
        </is>
      </c>
      <c r="G74" s="8" t="inlineStr">
        <is>
          <t>In Defender for Business enthalten. Ohne festen Turnus verpufft die Funktion.</t>
        </is>
      </c>
      <c r="H74" s="10" t="n"/>
      <c r="I74" s="11" t="inlineStr">
        <is>
          <t>Offen</t>
        </is>
      </c>
      <c r="J74" s="10" t="n"/>
    </row>
    <row r="75" ht="25.5" customHeight="1">
      <c r="A75" s="7" t="inlineStr">
        <is>
          <t>C-07</t>
        </is>
      </c>
      <c r="B75" s="8" t="inlineStr">
        <is>
          <t>Benachrichtigung</t>
        </is>
      </c>
      <c r="C75" s="8" t="inlineStr">
        <is>
          <t>Alert-E-Mail-Benachrichtigungen konfiguriert</t>
        </is>
      </c>
      <c r="D75" s="8" t="inlineStr">
        <is>
          <t>Benachrichtigungsregeln an Admin, MSP oder SOC nach Schweregrad</t>
        </is>
      </c>
      <c r="E75" s="9" t="inlineStr">
        <is>
          <t>Best Practice</t>
        </is>
      </c>
      <c r="F75" s="8" t="inlineStr">
        <is>
          <t>Defender &gt; Einstellungen &gt; Endpunkte &gt; E-Mail-Benachrichtigungen</t>
        </is>
      </c>
      <c r="G75" s="8" t="inlineStr">
        <is>
          <t>Sonst bemerkt niemand den Alarm.</t>
        </is>
      </c>
      <c r="H75" s="10" t="n"/>
      <c r="I75" s="11" t="inlineStr">
        <is>
          <t>Offen</t>
        </is>
      </c>
      <c r="J75" s="10" t="n"/>
    </row>
    <row r="76" ht="25.5" customHeight="1">
      <c r="A76" s="7" t="inlineStr">
        <is>
          <t>C-08</t>
        </is>
      </c>
      <c r="B76" s="8" t="inlineStr">
        <is>
          <t>Server</t>
        </is>
      </c>
      <c r="C76" s="8" t="inlineStr">
        <is>
          <t>Defender for Business servers Add-on</t>
        </is>
      </c>
      <c r="D76" s="8" t="inlineStr">
        <is>
          <t>Falls Server im Scope: Add-on lizenziert und Server onboarded</t>
        </is>
      </c>
      <c r="E76" s="9" t="inlineStr">
        <is>
          <t>Optional</t>
        </is>
      </c>
      <c r="F76" s="8" t="inlineStr">
        <is>
          <t>security.microsoft.com &gt; Einstellungen &gt; Endpunkte &gt; Onboarding</t>
        </is>
      </c>
      <c r="G76" s="8" t="inlineStr">
        <is>
          <t>NEU in v1.1. Business Premium deckt nur Clients ab. Server benötigen das separate Add-on.</t>
        </is>
      </c>
      <c r="H76" s="10" t="n"/>
      <c r="I76" s="11" t="inlineStr">
        <is>
          <t>Offen</t>
        </is>
      </c>
      <c r="J76" s="10" t="n"/>
    </row>
    <row r="77" ht="63.75" customHeight="1">
      <c r="A77" s="7" t="inlineStr">
        <is>
          <t>C-09</t>
        </is>
      </c>
      <c r="B77" s="8" t="inlineStr">
        <is>
          <t>WEICHE E-Mail</t>
        </is>
      </c>
      <c r="C77" s="8" t="inlineStr">
        <is>
          <t>Schutzkonzept E-Mail festgelegt: Weg A oder Weg B</t>
        </is>
      </c>
      <c r="D77" s="8" t="inlineStr">
        <is>
          <t>Entscheidung dokumentiert. Weg A = voreingestellte Sicherheitsrichtlinien (Preset Standard/Strict). Weg B = benutzerdefinierte Richtlinien. Der nicht gewählte Weg wird in den Folgezeilen auf n.a. gesetzt</t>
        </is>
      </c>
      <c r="E77" s="9" t="inlineStr">
        <is>
          <t>Pflicht</t>
        </is>
      </c>
      <c r="F77" s="8" t="inlineStr">
        <is>
          <t>Defender &gt; E-Mail und Zusammenarbeit &gt; Richtlinien und Regeln &gt; Bedrohungsrichtlinien</t>
        </is>
      </c>
      <c r="G77" s="8" t="inlineStr">
        <is>
          <t>NEU in v1.1 und der wichtigste strukturelle Fix. Beide Wege parallel zu fahren funktioniert nicht: Einstellungen benutzerdefinierter Richtlinien werden ignoriert, sobald derselbe Empfänger auch von einem Standard- oder Strict-Preset erfasst wird. Empfehlung für KMU: Weg A.</t>
        </is>
      </c>
      <c r="H77" s="10" t="n"/>
      <c r="I77" s="11" t="inlineStr">
        <is>
          <t>Offen</t>
        </is>
      </c>
      <c r="J77" s="10" t="n"/>
    </row>
    <row r="78" ht="38.25" customHeight="1">
      <c r="A78" s="7" t="inlineStr">
        <is>
          <t>C-10</t>
        </is>
      </c>
      <c r="B78" s="8" t="inlineStr">
        <is>
          <t>[Weg A] Preset</t>
        </is>
      </c>
      <c r="C78" s="8" t="inlineStr">
        <is>
          <t>Voreingestellte Sicherheitsrichtlinie aktiviert</t>
        </is>
      </c>
      <c r="D78" s="8" t="inlineStr">
        <is>
          <t>Preset 'Strict' für Schlüsselnutzer, mindestens 'Standard' für alle übrigen Empfänger</t>
        </is>
      </c>
      <c r="E78" s="9" t="inlineStr">
        <is>
          <t>Best Practice</t>
        </is>
      </c>
      <c r="F78" s="8" t="inlineStr">
        <is>
          <t>Defender &gt; Richtlinien und Regeln &gt; Bedrohungsrichtlinien &gt; Voreingestellte Sicherheitsrichtlinien</t>
        </is>
      </c>
      <c r="G78" s="8" t="inlineStr">
        <is>
          <t>Von Microsoft gepflegte Werte, die automatisch nachgezogen werden. Nicht anpassbar, das ist Vorteil und Einschränkung zugleich.</t>
        </is>
      </c>
      <c r="H78" s="10" t="n"/>
      <c r="I78" s="11" t="inlineStr">
        <is>
          <t>Offen</t>
        </is>
      </c>
      <c r="J78" s="10" t="n"/>
    </row>
    <row r="79" ht="51" customHeight="1">
      <c r="A79" s="7" t="inlineStr">
        <is>
          <t>C-11</t>
        </is>
      </c>
      <c r="B79" s="8" t="inlineStr">
        <is>
          <t>[Weg A] Preset</t>
        </is>
      </c>
      <c r="C79" s="8" t="inlineStr">
        <is>
          <t>Preset-Grenzen geprüft</t>
        </is>
      </c>
      <c r="D79" s="8" t="inlineStr">
        <is>
          <t>Impersonation-Schutz: maximal 350 Nutzer und 50 eigene Domänen; Subdomänen sind bei vertrauenswürdigen Domänen nicht automatisch eingeschlossen</t>
        </is>
      </c>
      <c r="E79" s="9" t="inlineStr">
        <is>
          <t>Best Practice</t>
        </is>
      </c>
      <c r="F79" s="8" t="inlineStr">
        <is>
          <t>Defender &gt; Voreingestellte Sicherheitsrichtlinien &gt; Konfiguration</t>
        </is>
      </c>
      <c r="G79" s="8" t="inlineStr">
        <is>
          <t>NEU in v1.1. Bei grösseren Kunden laufen diese Grenzen still voll und der Schutz greift nicht wie angenommen.</t>
        </is>
      </c>
      <c r="H79" s="10" t="n"/>
      <c r="I79" s="11" t="inlineStr">
        <is>
          <t>Offen</t>
        </is>
      </c>
      <c r="J79" s="10" t="n"/>
    </row>
    <row r="80" ht="63.75" customHeight="1">
      <c r="A80" s="7" t="inlineStr">
        <is>
          <t>C-12</t>
        </is>
      </c>
      <c r="B80" s="8" t="inlineStr">
        <is>
          <t>[Weg B] E-Mail</t>
        </is>
      </c>
      <c r="C80" s="8" t="inlineStr">
        <is>
          <t>Safe Attachments aktiviert</t>
        </is>
      </c>
      <c r="D80" s="8" t="inlineStr">
        <is>
          <t>Aktion = Blockieren für alle Empfänger; Quarantänerichtlinie zugewiesen</t>
        </is>
      </c>
      <c r="E80" s="9" t="inlineStr">
        <is>
          <t>Pflicht</t>
        </is>
      </c>
      <c r="F80" s="8" t="inlineStr">
        <is>
          <t>Defender &gt; Richtlinien und Regeln &gt; Bedrohungsrichtlinien &gt; Sichere Anlagen</t>
        </is>
      </c>
      <c r="G80" s="8" t="inlineStr">
        <is>
          <t>KORREKTUR gegenüber v1.0: Block und Dynamic Delivery sind sich ausschliessende Aktionen derselben Richtlinie, keine Kombination. Nach dem Retirement der Monitor-Aktion bleiben nur Off, Block und Dynamic Delivery. Dynamic Delivery nur wählen, wenn Zustellverzögerung ein Kundenthema ist.</t>
        </is>
      </c>
      <c r="H80" s="10" t="n"/>
      <c r="I80" s="11" t="inlineStr">
        <is>
          <t>Offen</t>
        </is>
      </c>
      <c r="J80" s="10" t="n"/>
    </row>
    <row r="81" ht="25.5" customHeight="1">
      <c r="A81" s="7" t="inlineStr">
        <is>
          <t>C-13</t>
        </is>
      </c>
      <c r="B81" s="8" t="inlineStr">
        <is>
          <t>[Weg B] E-Mail</t>
        </is>
      </c>
      <c r="C81" s="8" t="inlineStr">
        <is>
          <t>Safe Links aktiviert</t>
        </is>
      </c>
      <c r="D81" s="8" t="inlineStr">
        <is>
          <t>Klickzeitprüfung für E-Mail, Teams und Office-Apps; Umgehung durch Nutzer nicht erlaubt</t>
        </is>
      </c>
      <c r="E81" s="9" t="inlineStr">
        <is>
          <t>Pflicht</t>
        </is>
      </c>
      <c r="F81" s="8" t="inlineStr">
        <is>
          <t>Defender &gt; Richtlinien und Regeln &gt; Bedrohungsrichtlinien &gt; Sichere Links</t>
        </is>
      </c>
      <c r="G81" s="8" t="inlineStr">
        <is>
          <t>Schutz vor bösartigen URLs (Defender for Office 365 P1).</t>
        </is>
      </c>
      <c r="H81" s="10" t="n"/>
      <c r="I81" s="11" t="inlineStr">
        <is>
          <t>Offen</t>
        </is>
      </c>
      <c r="J81" s="10" t="n"/>
    </row>
    <row r="82" ht="38.25" customHeight="1">
      <c r="A82" s="7" t="inlineStr">
        <is>
          <t>C-14</t>
        </is>
      </c>
      <c r="B82" s="8" t="inlineStr">
        <is>
          <t>[Weg B] E-Mail</t>
        </is>
      </c>
      <c r="C82" s="8" t="inlineStr">
        <is>
          <t>Anti-Phishing: Spoof- und Impersonation-Schutz</t>
        </is>
      </c>
      <c r="D82" s="8" t="inlineStr">
        <is>
          <t>Spoof Intelligence aktiv; Impersonation-Schutz für Schlüsselnutzer und eigene Domänen; Aktionen definiert</t>
        </is>
      </c>
      <c r="E82" s="9" t="inlineStr">
        <is>
          <t>Pflicht</t>
        </is>
      </c>
      <c r="F82" s="8" t="inlineStr">
        <is>
          <t>Defender &gt; Richtlinien und Regeln &gt; Bedrohungsrichtlinien &gt; Anti-Phishing</t>
        </is>
      </c>
      <c r="G82" s="8" t="inlineStr">
        <is>
          <t>Schutz vor CEO-Fraud und BEC.</t>
        </is>
      </c>
      <c r="H82" s="10" t="n"/>
      <c r="I82" s="11" t="inlineStr">
        <is>
          <t>Offen</t>
        </is>
      </c>
      <c r="J82" s="10" t="n"/>
    </row>
    <row r="83" ht="25.5" customHeight="1">
      <c r="A83" s="7" t="inlineStr">
        <is>
          <t>C-15</t>
        </is>
      </c>
      <c r="B83" s="8" t="inlineStr">
        <is>
          <t>[Weg B] E-Mail</t>
        </is>
      </c>
      <c r="C83" s="8" t="inlineStr">
        <is>
          <t>Mailbox Intelligence aktiviert</t>
        </is>
      </c>
      <c r="D83" s="8" t="inlineStr">
        <is>
          <t>Mailbox Intelligence und der darauf basierende Impersonation-Schutz aktiv, Aktionen definiert</t>
        </is>
      </c>
      <c r="E83" s="9" t="inlineStr">
        <is>
          <t>Best Practice</t>
        </is>
      </c>
      <c r="F83" s="8" t="inlineStr">
        <is>
          <t>Defender &gt; Anti-Phishing-Richtlinie</t>
        </is>
      </c>
      <c r="G83" s="8" t="inlineStr">
        <is>
          <t>Erkennt ungewöhnliche Absenderbeziehungen.</t>
        </is>
      </c>
      <c r="H83" s="10" t="n"/>
      <c r="I83" s="11" t="inlineStr">
        <is>
          <t>Offen</t>
        </is>
      </c>
      <c r="J83" s="10" t="n"/>
    </row>
    <row r="84" ht="25.5" customHeight="1">
      <c r="A84" s="7" t="inlineStr">
        <is>
          <t>C-16</t>
        </is>
      </c>
      <c r="B84" s="8" t="inlineStr">
        <is>
          <t>[Weg B] Anti-Spam</t>
        </is>
      </c>
      <c r="C84" s="8" t="inlineStr">
        <is>
          <t>Eingehende Anti-Spam-Richtlinie gehärtet</t>
        </is>
      </c>
      <c r="D84" s="8" t="inlineStr">
        <is>
          <t>High Confidence Spam und Phishing = Quarantäne; Bulk-Schwelle gesetzt</t>
        </is>
      </c>
      <c r="E84" s="9" t="inlineStr">
        <is>
          <t>Pflicht</t>
        </is>
      </c>
      <c r="F84" s="8" t="inlineStr">
        <is>
          <t>Defender &gt; Richtlinien und Regeln &gt; Bedrohungsrichtlinien &gt; Anti-Spam</t>
        </is>
      </c>
      <c r="G84" s="8" t="inlineStr">
        <is>
          <t>EOP-Basisschutz.</t>
        </is>
      </c>
      <c r="H84" s="10" t="n"/>
      <c r="I84" s="11" t="inlineStr">
        <is>
          <t>Offen</t>
        </is>
      </c>
      <c r="J84" s="10" t="n"/>
    </row>
    <row r="85" ht="25.5" customHeight="1">
      <c r="A85" s="7" t="inlineStr">
        <is>
          <t>C-17</t>
        </is>
      </c>
      <c r="B85" s="8" t="inlineStr">
        <is>
          <t>[Weg B] Anti-Malware</t>
        </is>
      </c>
      <c r="C85" s="8" t="inlineStr">
        <is>
          <t>Common Attachment Filter aktiv</t>
        </is>
      </c>
      <c r="D85" s="8" t="inlineStr">
        <is>
          <t>Sperrung gefährlicher Dateitypen (exe, js, vbs, scr und weitere)</t>
        </is>
      </c>
      <c r="E85" s="9" t="inlineStr">
        <is>
          <t>Best Practice</t>
        </is>
      </c>
      <c r="F85" s="8" t="inlineStr">
        <is>
          <t>Defender &gt; Richtlinien und Regeln &gt; Bedrohungsrichtlinien &gt; Anti-Malware</t>
        </is>
      </c>
      <c r="G85" s="8" t="inlineStr">
        <is>
          <t>Blockiert typische Schadcode-Träger.</t>
        </is>
      </c>
      <c r="H85" s="10" t="n"/>
      <c r="I85" s="11" t="inlineStr">
        <is>
          <t>Offen</t>
        </is>
      </c>
      <c r="J85" s="10" t="n"/>
    </row>
    <row r="86" ht="38.25" customHeight="1">
      <c r="A86" s="7" t="inlineStr">
        <is>
          <t>C-18</t>
        </is>
      </c>
      <c r="B86" s="8" t="inlineStr">
        <is>
          <t>E-Mail (immer)</t>
        </is>
      </c>
      <c r="C86" s="8" t="inlineStr">
        <is>
          <t>Safe Attachments für SharePoint, OneDrive und Teams</t>
        </is>
      </c>
      <c r="D86" s="8" t="inlineStr">
        <is>
          <t>Aktiviert</t>
        </is>
      </c>
      <c r="E86" s="9" t="inlineStr">
        <is>
          <t>Best Practice</t>
        </is>
      </c>
      <c r="F86" s="8" t="inlineStr">
        <is>
          <t>Defender &gt; Einstellungen &gt; E-Mail und Zusammenarbeit bzw. PowerShell Set-AtpPolicyForO365</t>
        </is>
      </c>
      <c r="G86" s="8" t="inlineStr">
        <is>
          <t>Gilt unabhängig von Weg A oder B: Presets decken diese Einstellung ausdrücklich NICHT ab.</t>
        </is>
      </c>
      <c r="H86" s="10" t="n"/>
      <c r="I86" s="11" t="inlineStr">
        <is>
          <t>Offen</t>
        </is>
      </c>
      <c r="J86" s="10" t="n"/>
    </row>
    <row r="87" ht="38.25" customHeight="1">
      <c r="A87" s="7" t="inlineStr">
        <is>
          <t>C-19</t>
        </is>
      </c>
      <c r="B87" s="8" t="inlineStr">
        <is>
          <t>E-Mail (immer)</t>
        </is>
      </c>
      <c r="C87" s="8" t="inlineStr">
        <is>
          <t>Ausgehende Anti-Spam-Richtlinie und Auto-Forwarding-Sperre</t>
        </is>
      </c>
      <c r="D87" s="8" t="inlineStr">
        <is>
          <t>Automatische externe Weiterleitung = deaktiviert; Sendelimits gesetzt; Benachrichtigung bei Sperrung</t>
        </is>
      </c>
      <c r="E87" s="9" t="inlineStr">
        <is>
          <t>Pflicht</t>
        </is>
      </c>
      <c r="F87" s="8" t="inlineStr">
        <is>
          <t>Defender &gt; Richtlinien und Regeln &gt; Bedrohungsrichtlinien &gt; Anti-Spam (ausgehend)</t>
        </is>
      </c>
      <c r="G87" s="8" t="inlineStr">
        <is>
          <t>Gilt unabhängig von Weg A oder B: Ausgehende Spam-Richtlinien sind nicht Teil der Presets. Verhindert Datenabfluss über kompromittierte Konten.</t>
        </is>
      </c>
      <c r="H87" s="10" t="n"/>
      <c r="I87" s="11" t="inlineStr">
        <is>
          <t>Offen</t>
        </is>
      </c>
      <c r="J87" s="10" t="n"/>
    </row>
    <row r="88" ht="38.25" customHeight="1">
      <c r="A88" s="7" t="inlineStr">
        <is>
          <t>C-20</t>
        </is>
      </c>
      <c r="B88" s="8" t="inlineStr">
        <is>
          <t>E-Mail (immer)</t>
        </is>
      </c>
      <c r="C88" s="8" t="inlineStr">
        <is>
          <t>Verbindungsfilterrichtlinie geprüft</t>
        </is>
      </c>
      <c r="D88" s="8" t="inlineStr">
        <is>
          <t>IP-Zulassungsliste bereinigt; 'Safe List' bewusst entschieden</t>
        </is>
      </c>
      <c r="E88" s="9" t="inlineStr">
        <is>
          <t>Best Practice</t>
        </is>
      </c>
      <c r="F88" s="8" t="inlineStr">
        <is>
          <t>Defender &gt; Richtlinien und Regeln &gt; Bedrohungsrichtlinien &gt; Anti-Spam &gt; Verbindungsfilterrichtlinie</t>
        </is>
      </c>
      <c r="G88" s="8" t="inlineStr">
        <is>
          <t>NEU in v1.1. Ebenfalls nicht Teil der Presets. Alte IP-Freigaben hebeln den kompletten Spamfilter aus.</t>
        </is>
      </c>
      <c r="H88" s="10" t="n"/>
      <c r="I88" s="11" t="inlineStr">
        <is>
          <t>Offen</t>
        </is>
      </c>
      <c r="J88" s="10" t="n"/>
    </row>
    <row r="89" ht="25.5" customHeight="1">
      <c r="A89" s="7" t="inlineStr">
        <is>
          <t>C-21</t>
        </is>
      </c>
      <c r="B89" s="8" t="inlineStr">
        <is>
          <t>E-Mail (immer)</t>
        </is>
      </c>
      <c r="C89" s="8" t="inlineStr">
        <is>
          <t>Zero-hour Auto Purge (ZAP) aktiviert</t>
        </is>
      </c>
      <c r="D89" s="8" t="inlineStr">
        <is>
          <t>ZAP für Malware und Phishing = Ein</t>
        </is>
      </c>
      <c r="E89" s="9" t="inlineStr">
        <is>
          <t>Best Practice</t>
        </is>
      </c>
      <c r="F89" s="8" t="inlineStr">
        <is>
          <t>Defender &gt; Anti-Spam- und Anti-Malware-Richtlinien</t>
        </is>
      </c>
      <c r="G89" s="8" t="inlineStr">
        <is>
          <t>Entfernt nachträglich als bösartig erkannte Nachrichten aus den Postfächern.</t>
        </is>
      </c>
      <c r="H89" s="10" t="n"/>
      <c r="I89" s="11" t="inlineStr">
        <is>
          <t>Offen</t>
        </is>
      </c>
      <c r="J89" s="10" t="n"/>
    </row>
    <row r="90" ht="38.25" customHeight="1">
      <c r="A90" s="7" t="inlineStr">
        <is>
          <t>C-22</t>
        </is>
      </c>
      <c r="B90" s="8" t="inlineStr">
        <is>
          <t>E-Mail (immer)</t>
        </is>
      </c>
      <c r="C90" s="8" t="inlineStr">
        <is>
          <t>Quarantäne-Richtlinien und Benachrichtigungen</t>
        </is>
      </c>
      <c r="D90" s="8" t="inlineStr">
        <is>
          <t>Quarantänerichtlinie mit Endnutzer-Benachrichtigung und Freigabeanforderung</t>
        </is>
      </c>
      <c r="E90" s="9" t="inlineStr">
        <is>
          <t>Best Practice</t>
        </is>
      </c>
      <c r="F90" s="8" t="inlineStr">
        <is>
          <t>Defender &gt; Richtlinien und Regeln &gt; Bedrohungsrichtlinien &gt; Quarantänerichtlinien</t>
        </is>
      </c>
      <c r="G90" s="8" t="inlineStr">
        <is>
          <t>Transparenz für Nutzer, Entlastung für den Admin. Standard ist AdminOnlyAccessPolicy ohne Benachrichtigung.</t>
        </is>
      </c>
      <c r="H90" s="10" t="n"/>
      <c r="I90" s="11" t="inlineStr">
        <is>
          <t>Offen</t>
        </is>
      </c>
      <c r="J90" s="10" t="n"/>
    </row>
    <row r="91" ht="38.25" customHeight="1">
      <c r="A91" s="7" t="inlineStr">
        <is>
          <t>C-23</t>
        </is>
      </c>
      <c r="B91" s="8" t="inlineStr">
        <is>
          <t>E-Mail (immer)</t>
        </is>
      </c>
      <c r="C91" s="8" t="inlineStr">
        <is>
          <t>Funktion 'Nachricht melden' aktiviert</t>
        </is>
      </c>
      <c r="D91" s="8" t="inlineStr">
        <is>
          <t>Report Message bzw. Report Phishing aktiv; gemeldete Mails an definiertes Postfach und an Microsoft</t>
        </is>
      </c>
      <c r="E91" s="9" t="inlineStr">
        <is>
          <t>Best Practice</t>
        </is>
      </c>
      <c r="F91" s="8" t="inlineStr">
        <is>
          <t>Defender &gt; Einstellungen &gt; E-Mail und Zusammenarbeit &gt; Vom Benutzer gemeldete Einstellungen</t>
        </is>
      </c>
      <c r="G91" s="8" t="inlineStr">
        <is>
          <t>Bindet die Nutzer in die Erkennung ein.</t>
        </is>
      </c>
      <c r="H91" s="10" t="n"/>
      <c r="I91" s="11" t="inlineStr">
        <is>
          <t>Offen</t>
        </is>
      </c>
      <c r="J91" s="10" t="n"/>
    </row>
    <row r="92" ht="21.75" customHeight="1">
      <c r="A92" s="13" t="inlineStr">
        <is>
          <t>D   Purview / Exchange / EOP / SharePoint   ·   Portal: purview / admin.exchange / admin.microsoft.com</t>
        </is>
      </c>
      <c r="B92" s="23" t="n"/>
      <c r="C92" s="23" t="n"/>
      <c r="D92" s="23" t="n"/>
      <c r="E92" s="23" t="n"/>
      <c r="F92" s="23" t="n"/>
      <c r="G92" s="23" t="n"/>
      <c r="H92" s="23" t="n"/>
      <c r="I92" s="23" t="n"/>
      <c r="J92" s="24" t="n"/>
    </row>
    <row r="93" ht="38.25" customHeight="1">
      <c r="A93" s="7" t="inlineStr">
        <is>
          <t>D-01</t>
        </is>
      </c>
      <c r="B93" s="8" t="inlineStr">
        <is>
          <t>Audit</t>
        </is>
      </c>
      <c r="C93" s="8" t="inlineStr">
        <is>
          <t>Einheitliches Überwachungsprotokoll verifiziert</t>
        </is>
      </c>
      <c r="D93" s="8" t="inlineStr">
        <is>
          <t>Unified Audit Log aktiv; Testsuche erfolgreich durchgeführt</t>
        </is>
      </c>
      <c r="E93" s="9" t="inlineStr">
        <is>
          <t>Pflicht</t>
        </is>
      </c>
      <c r="F93" s="8" t="inlineStr">
        <is>
          <t>Purview &gt; Überwachen (Audit) bzw. Exchange Admin</t>
        </is>
      </c>
      <c r="G93" s="8" t="inlineStr">
        <is>
          <t>Präzisiert: bei neuen Tenants seit 2023 standardmässig aktiv, deshalb verifizieren statt einschalten. Voraussetzung für forensische Nachvollziehbarkeit.</t>
        </is>
      </c>
      <c r="H93" s="10" t="n"/>
      <c r="I93" s="11" t="inlineStr">
        <is>
          <t>Offen</t>
        </is>
      </c>
      <c r="J93" s="10" t="n"/>
    </row>
    <row r="94" ht="25.5" customHeight="1">
      <c r="A94" s="7" t="inlineStr">
        <is>
          <t>D-02</t>
        </is>
      </c>
      <c r="B94" s="8" t="inlineStr">
        <is>
          <t>Audit</t>
        </is>
      </c>
      <c r="C94" s="8" t="inlineStr">
        <is>
          <t>Postfachüberwachung verifiziert</t>
        </is>
      </c>
      <c r="D94" s="8" t="inlineStr">
        <is>
          <t>Mailbox Auditing aktiv; relevante Aktionen werden protokolliert</t>
        </is>
      </c>
      <c r="E94" s="9" t="inlineStr">
        <is>
          <t>Pflicht</t>
        </is>
      </c>
      <c r="F94" s="8" t="inlineStr">
        <is>
          <t>Exchange Online PowerShell: Get-OrganizationConfig | fl AuditDisabled</t>
        </is>
      </c>
      <c r="G94" s="8" t="inlineStr">
        <is>
          <t>Präzisiert: seit 2019 standardmässig aktiv. Prüfen, ob nicht per Skript deaktiviert wurde.</t>
        </is>
      </c>
      <c r="H94" s="10" t="n"/>
      <c r="I94" s="11" t="inlineStr">
        <is>
          <t>Offen</t>
        </is>
      </c>
      <c r="J94" s="10" t="n"/>
    </row>
    <row r="95" ht="102" customHeight="1">
      <c r="A95" s="7" t="inlineStr">
        <is>
          <t>D-03</t>
        </is>
      </c>
      <c r="B95" s="8" t="inlineStr">
        <is>
          <t>Legacy-Protokolle</t>
        </is>
      </c>
      <c r="C95" s="8" t="inlineStr">
        <is>
          <t>SMTP AUTH und Legacy-Protokolle kontrolliert</t>
        </is>
      </c>
      <c r="D95" s="8" t="inlineStr">
        <is>
          <t>POP und IMAP je Postfach deaktiviert, sofern nicht zwingend benötigt; SMTP AUTH nur für dokumentierte Ausnahmen aktiv</t>
        </is>
      </c>
      <c r="E95" s="9" t="inlineStr">
        <is>
          <t>Best Practice</t>
        </is>
      </c>
      <c r="F95" s="8" t="inlineStr">
        <is>
          <t>Exchange Admin &gt; Berichte &gt; Nachrichtenfluss &gt; SMTP-AUTH-Clients + Exchange Admin &gt; Postfächer</t>
        </is>
      </c>
      <c r="G95" s="8" t="inlineStr">
        <is>
          <t>AKTUALISIERT gegenüber v1.0: Basic Auth wurde von Microsoft für alle Protokolle ausser SMTP AUTH bereits Ende 2022 dauerhaft abgeschaltet, dort gibt es nichts mehr zu tun. Offen ist nur SMTP AUTH. Neuer Zeitplan vom 27.01.2026: unverändert bis Dezember 2026, danach Deaktivierung per Default für bestehende Tenants, für neue Tenants nicht mehr verfügbar, finales Abschaltdatum wird im 2. Halbjahr 2027 angekündigt. Termine vor Kundenkommunikation erneut prüfen.</t>
        </is>
      </c>
      <c r="H95" s="10" t="n"/>
      <c r="I95" s="11" t="inlineStr">
        <is>
          <t>Offen</t>
        </is>
      </c>
      <c r="J95" s="10" t="n"/>
    </row>
    <row r="96" ht="25.5" customHeight="1">
      <c r="A96" s="7" t="inlineStr">
        <is>
          <t>D-04</t>
        </is>
      </c>
      <c r="B96" s="8" t="inlineStr">
        <is>
          <t>Mailfluss</t>
        </is>
      </c>
      <c r="C96" s="8" t="inlineStr">
        <is>
          <t>Externe automatische Weiterleitung blockiert</t>
        </is>
      </c>
      <c r="D96" s="8" t="inlineStr">
        <is>
          <t>Auto-Forwarding nach extern über die Outbound-Spam-Richtlinie unterbunden</t>
        </is>
      </c>
      <c r="E96" s="9" t="inlineStr">
        <is>
          <t>Pflicht</t>
        </is>
      </c>
      <c r="F96" s="8" t="inlineStr">
        <is>
          <t>Defender/EOP Outbound-Spam bzw. Exchange-Regel</t>
        </is>
      </c>
      <c r="G96" s="8" t="inlineStr">
        <is>
          <t>Verhindert stille Datenexfiltration. Deckungsgleich mit C-19, hier aus Exchange-Sicht dokumentiert.</t>
        </is>
      </c>
      <c r="H96" s="10" t="n"/>
      <c r="I96" s="11" t="inlineStr">
        <is>
          <t>Offen</t>
        </is>
      </c>
      <c r="J96" s="10" t="n"/>
    </row>
    <row r="97" ht="38.25" customHeight="1">
      <c r="A97" s="7" t="inlineStr">
        <is>
          <t>D-05</t>
        </is>
      </c>
      <c r="B97" s="8" t="inlineStr">
        <is>
          <t>Mailfluss</t>
        </is>
      </c>
      <c r="C97" s="8" t="inlineStr">
        <is>
          <t>Posteingangsregeln und Postfachdelegierungen geprüft</t>
        </is>
      </c>
      <c r="D97" s="8" t="inlineStr">
        <is>
          <t>Keine unbekannten Weiterleitungs- oder Löschregeln; Vollzugriffs- und SendAs-Berechtigungen dokumentiert</t>
        </is>
      </c>
      <c r="E97" s="9" t="inlineStr">
        <is>
          <t>Best Practice</t>
        </is>
      </c>
      <c r="F97" s="8" t="inlineStr">
        <is>
          <t>Exchange Online PowerShell: Get-InboxRule, Get-MailboxPermission</t>
        </is>
      </c>
      <c r="G97" s="8" t="inlineStr">
        <is>
          <t>NEU in v1.1. Versteckte Posteingangsregeln sind der Standard-Persistenzmechanismus bei BEC-Vorfällen.</t>
        </is>
      </c>
      <c r="H97" s="10" t="n"/>
      <c r="I97" s="11" t="inlineStr">
        <is>
          <t>Offen</t>
        </is>
      </c>
      <c r="J97" s="10" t="n"/>
    </row>
    <row r="98" ht="25.5" customHeight="1">
      <c r="A98" s="7" t="inlineStr">
        <is>
          <t>D-06</t>
        </is>
      </c>
      <c r="B98" s="8" t="inlineStr">
        <is>
          <t>Mailfluss</t>
        </is>
      </c>
      <c r="C98" s="8" t="inlineStr">
        <is>
          <t>Warnbanner für externe Absender</t>
        </is>
      </c>
      <c r="D98" s="8" t="inlineStr">
        <is>
          <t>Transportregel oder External Sender Identification kennzeichnet externe E-Mails</t>
        </is>
      </c>
      <c r="E98" s="9" t="inlineStr">
        <is>
          <t>Best Practice</t>
        </is>
      </c>
      <c r="F98" s="8" t="inlineStr">
        <is>
          <t>Exchange Admin &gt; Nachrichtenfluss &gt; Regeln bzw. Set-ExternalInOutlook</t>
        </is>
      </c>
      <c r="G98" s="8" t="inlineStr">
        <is>
          <t>Sensibilisierung gegen Phishing und Spoofing.</t>
        </is>
      </c>
      <c r="H98" s="10" t="n"/>
      <c r="I98" s="11" t="inlineStr">
        <is>
          <t>Offen</t>
        </is>
      </c>
      <c r="J98" s="10" t="n"/>
    </row>
    <row r="99" ht="25.5" customHeight="1">
      <c r="A99" s="7" t="inlineStr">
        <is>
          <t>D-07</t>
        </is>
      </c>
      <c r="B99" s="8" t="inlineStr">
        <is>
          <t>Mailfluss</t>
        </is>
      </c>
      <c r="C99" s="8" t="inlineStr">
        <is>
          <t>Gefährliche Dateitypen per Transportregel blockiert</t>
        </is>
      </c>
      <c r="D99" s="8" t="inlineStr">
        <is>
          <t>Regel gegen ausführbare und aktive Inhalte, ergänzend zum Common Attachment Filter</t>
        </is>
      </c>
      <c r="E99" s="9" t="inlineStr">
        <is>
          <t>Optional</t>
        </is>
      </c>
      <c r="F99" s="8" t="inlineStr">
        <is>
          <t>Exchange Admin &gt; Nachrichtenfluss &gt; Regeln</t>
        </is>
      </c>
      <c r="G99" s="8" t="inlineStr">
        <is>
          <t>Zusätzliche Absicherung, sinnvoll bei besonders exponierten Kunden.</t>
        </is>
      </c>
      <c r="H99" s="10" t="n"/>
      <c r="I99" s="11" t="inlineStr">
        <is>
          <t>Offen</t>
        </is>
      </c>
      <c r="J99" s="10" t="n"/>
    </row>
    <row r="100" ht="51" customHeight="1">
      <c r="A100" s="7" t="inlineStr">
        <is>
          <t>D-08</t>
        </is>
      </c>
      <c r="B100" s="8" t="inlineStr">
        <is>
          <t>Authentifizierung</t>
        </is>
      </c>
      <c r="C100" s="8" t="inlineStr">
        <is>
          <t>SPF-Eintrag gesetzt</t>
        </is>
      </c>
      <c r="D100" s="8" t="inlineStr">
        <is>
          <t>Gültiger SPF-Record je versendender Domäne, Abschluss mit -all</t>
        </is>
      </c>
      <c r="E100" s="9" t="inlineStr">
        <is>
          <t>Pflicht</t>
        </is>
      </c>
      <c r="F100" s="8" t="inlineStr">
        <is>
          <t>DNS-Verwaltung der Domäne</t>
        </is>
      </c>
      <c r="G100" s="8" t="inlineStr">
        <is>
          <t>Von Best Practice auf Pflicht hochgestuft: seit den Absenderanforderungen von Google und Yahoo (2024) und Outlook.com (2025) ist die E-Mail-Authentifizierung faktisch Zustellvoraussetzung.</t>
        </is>
      </c>
      <c r="H100" s="10" t="n"/>
      <c r="I100" s="11" t="inlineStr">
        <is>
          <t>Offen</t>
        </is>
      </c>
      <c r="J100" s="10" t="n"/>
    </row>
    <row r="101" ht="38.25" customHeight="1">
      <c r="A101" s="7" t="inlineStr">
        <is>
          <t>D-09</t>
        </is>
      </c>
      <c r="B101" s="8" t="inlineStr">
        <is>
          <t>Authentifizierung</t>
        </is>
      </c>
      <c r="C101" s="8" t="inlineStr">
        <is>
          <t>DKIM aktiviert und signiert</t>
        </is>
      </c>
      <c r="D101" s="8" t="inlineStr">
        <is>
          <t>DKIM je akzeptierter Domäne aktiviert, Selektoren im DNS veröffentlicht, Signatur verifiziert</t>
        </is>
      </c>
      <c r="E101" s="9" t="inlineStr">
        <is>
          <t>Pflicht</t>
        </is>
      </c>
      <c r="F101" s="8" t="inlineStr">
        <is>
          <t>Defender &gt; Richtlinien und Regeln &gt; Bedrohungsrichtlinien &gt; E-Mail-Authentifizierungseinstellungen &gt; DKIM</t>
        </is>
      </c>
      <c r="G101" s="8" t="inlineStr">
        <is>
          <t>Von Best Practice auf Pflicht hochgestuft, Begründung siehe D-08.</t>
        </is>
      </c>
      <c r="H101" s="10" t="n"/>
      <c r="I101" s="11" t="inlineStr">
        <is>
          <t>Offen</t>
        </is>
      </c>
      <c r="J101" s="10" t="n"/>
    </row>
    <row r="102" ht="38.25" customHeight="1">
      <c r="A102" s="7" t="inlineStr">
        <is>
          <t>D-10</t>
        </is>
      </c>
      <c r="B102" s="8" t="inlineStr">
        <is>
          <t>Authentifizierung</t>
        </is>
      </c>
      <c r="C102" s="8" t="inlineStr">
        <is>
          <t>DMARC-Eintrag veröffentlicht</t>
        </is>
      </c>
      <c r="D102" s="8" t="inlineStr">
        <is>
          <t>Start mit p=none und rua-Adresse (Monitoring), Zielzustand p=quarantine oder p=reject</t>
        </is>
      </c>
      <c r="E102" s="9" t="inlineStr">
        <is>
          <t>Pflicht</t>
        </is>
      </c>
      <c r="F102" s="8" t="inlineStr">
        <is>
          <t>DNS-Verwaltung der Domäne</t>
        </is>
      </c>
      <c r="G102" s="8" t="inlineStr">
        <is>
          <t>Von Best Practice auf Pflicht hochgestuft. Wirksamster Schutz gegen Domänen-Spoofing. Zielzustand und Zeitplan im Feld Bemerkung festhalten.</t>
        </is>
      </c>
      <c r="H102" s="10" t="n"/>
      <c r="I102" s="11" t="inlineStr">
        <is>
          <t>Offen</t>
        </is>
      </c>
      <c r="J102" s="10" t="n"/>
    </row>
    <row r="103" ht="38.25" customHeight="1">
      <c r="A103" s="7" t="inlineStr">
        <is>
          <t>D-11</t>
        </is>
      </c>
      <c r="B103" s="8" t="inlineStr">
        <is>
          <t>Freigaben</t>
        </is>
      </c>
      <c r="C103" s="8" t="inlineStr">
        <is>
          <t>Externe Freigabe für SharePoint und OneDrive eingeschränkt</t>
        </is>
      </c>
      <c r="D103" s="8" t="inlineStr">
        <is>
          <t>Freigabeebene passend gesetzt, zum Beispiel 'Bestehende Gäste' oder auf bestimmte Domänen begrenzt</t>
        </is>
      </c>
      <c r="E103" s="9" t="inlineStr">
        <is>
          <t>Best Practice</t>
        </is>
      </c>
      <c r="F103" s="8" t="inlineStr">
        <is>
          <t>SharePoint Admin &gt; Richtlinien &gt; Freigabe</t>
        </is>
      </c>
      <c r="G103" s="8" t="inlineStr">
        <is>
          <t>Kontrolle über externen Datenzugriff.</t>
        </is>
      </c>
      <c r="H103" s="10" t="n"/>
      <c r="I103" s="11" t="inlineStr">
        <is>
          <t>Offen</t>
        </is>
      </c>
      <c r="J103" s="10" t="n"/>
    </row>
    <row r="104" ht="38.25" customHeight="1">
      <c r="A104" s="7" t="inlineStr">
        <is>
          <t>D-12</t>
        </is>
      </c>
      <c r="B104" s="8" t="inlineStr">
        <is>
          <t>Freigaben</t>
        </is>
      </c>
      <c r="C104" s="8" t="inlineStr">
        <is>
          <t>Freigabelinks im Detail konfiguriert</t>
        </is>
      </c>
      <c r="D104" s="8" t="inlineStr">
        <is>
          <t>Standard-Linktyp = 'Bestimmte Personen'; Ablaufdatum für anonyme Links gesetzt; Standardberechtigung = Anzeigen</t>
        </is>
      </c>
      <c r="E104" s="9" t="inlineStr">
        <is>
          <t>Best Practice</t>
        </is>
      </c>
      <c r="F104" s="8" t="inlineStr">
        <is>
          <t>SharePoint Admin &gt; Richtlinien &gt; Freigabe &gt; Erweiterte Einstellungen für Freigabelinks</t>
        </is>
      </c>
      <c r="G104" s="8" t="inlineStr">
        <is>
          <t>NEU in v1.1. Die grobe Freigabeebene aus D-11 allein verhindert nicht, dass jeder Link standardmässig als 'Jeder' mit Bearbeitungsrecht und ohne Ablauf erzeugt wird.</t>
        </is>
      </c>
      <c r="H104" s="10" t="n"/>
      <c r="I104" s="11" t="inlineStr">
        <is>
          <t>Offen</t>
        </is>
      </c>
      <c r="J104" s="10" t="n"/>
    </row>
    <row r="105" ht="25.5" customHeight="1">
      <c r="A105" s="7" t="inlineStr">
        <is>
          <t>D-13</t>
        </is>
      </c>
      <c r="B105" s="8" t="inlineStr">
        <is>
          <t>Freigaben</t>
        </is>
      </c>
      <c r="C105" s="8" t="inlineStr">
        <is>
          <t>Zugriff nicht verwalteter Geräte auf SPO und OneDrive eingeschränkt</t>
        </is>
      </c>
      <c r="D105" s="8" t="inlineStr">
        <is>
          <t>App-erzwungene Einschränkungen (nur Browser, kein Download) über Conditional Access</t>
        </is>
      </c>
      <c r="E105" s="9" t="inlineStr">
        <is>
          <t>Best Practice</t>
        </is>
      </c>
      <c r="F105" s="8" t="inlineStr">
        <is>
          <t>SharePoint Admin + Entra Conditional Access</t>
        </is>
      </c>
      <c r="G105" s="8" t="inlineStr">
        <is>
          <t>Schutz vor Datenabfluss auf privaten Geräten. Wirkt zusammen mit A-08.</t>
        </is>
      </c>
      <c r="H105" s="10" t="n"/>
      <c r="I105" s="11" t="inlineStr">
        <is>
          <t>Offen</t>
        </is>
      </c>
      <c r="J105" s="10" t="n"/>
    </row>
    <row r="106" ht="38.25" customHeight="1">
      <c r="A106" s="7" t="inlineStr">
        <is>
          <t>D-14</t>
        </is>
      </c>
      <c r="B106" s="8" t="inlineStr">
        <is>
          <t>Datenschutz</t>
        </is>
      </c>
      <c r="C106" s="8" t="inlineStr">
        <is>
          <t>OneDrive Known Folder Move aktiviert</t>
        </is>
      </c>
      <c r="D106" s="8" t="inlineStr">
        <is>
          <t>Desktop, Dokumente und Bilder werden per Richtlinie nach OneDrive umgeleitet, stille Konfiguration</t>
        </is>
      </c>
      <c r="E106" s="9" t="inlineStr">
        <is>
          <t>Best Practice</t>
        </is>
      </c>
      <c r="F106" s="8" t="inlineStr">
        <is>
          <t>Intune &gt; Konfigurationsprofile &gt; OneDrive bzw. ADMX Known Folder Move</t>
        </is>
      </c>
      <c r="G106" s="8" t="inlineStr">
        <is>
          <t>NEU in v1.1. Wirksamer Schutz bei Geräteverlust und Ransomware, weil Versionierung und Papierkorb greifen. Kostet keine Zusatzlizenz.</t>
        </is>
      </c>
      <c r="H106" s="10" t="n"/>
      <c r="I106" s="11" t="inlineStr">
        <is>
          <t>Offen</t>
        </is>
      </c>
      <c r="J106" s="10" t="n"/>
    </row>
    <row r="107" ht="38.25" customHeight="1">
      <c r="A107" s="7" t="inlineStr">
        <is>
          <t>D-15</t>
        </is>
      </c>
      <c r="B107" s="8" t="inlineStr">
        <is>
          <t>Sitzung</t>
        </is>
      </c>
      <c r="C107" s="8" t="inlineStr">
        <is>
          <t>Leerlauf-Sitzungstimeout (Idle Session Timeout)</t>
        </is>
      </c>
      <c r="D107" s="8" t="inlineStr">
        <is>
          <t>Automatische Abmeldung der M365-Websitzungen nach definierter Inaktivität</t>
        </is>
      </c>
      <c r="E107" s="9" t="inlineStr">
        <is>
          <t>Best Practice</t>
        </is>
      </c>
      <c r="F107" s="8" t="inlineStr">
        <is>
          <t>M365 Admin &gt; Einstellungen &gt; Org-Einstellungen &gt; Sicherheit und Datenschutz &gt; Idle session timeout</t>
        </is>
      </c>
      <c r="G107" s="8" t="inlineStr">
        <is>
          <t>Schutz an gemeinsam genutzten Geräten.</t>
        </is>
      </c>
      <c r="H107" s="10" t="n"/>
      <c r="I107" s="11" t="inlineStr">
        <is>
          <t>Offen</t>
        </is>
      </c>
      <c r="J107" s="10" t="n"/>
    </row>
    <row r="108" ht="25.5" customHeight="1">
      <c r="A108" s="7" t="inlineStr">
        <is>
          <t>D-16</t>
        </is>
      </c>
      <c r="B108" s="8" t="inlineStr">
        <is>
          <t>Informationsschutz</t>
        </is>
      </c>
      <c r="C108" s="8" t="inlineStr">
        <is>
          <t>Vertraulichkeitsbezeichnungen veröffentlicht</t>
        </is>
      </c>
      <c r="D108" s="8" t="inlineStr">
        <is>
          <t>Basis-Labelsatz (zum Beispiel Öffentlich, Intern, Vertraulich) publiziert; manuelle Anwendung</t>
        </is>
      </c>
      <c r="E108" s="9" t="inlineStr">
        <is>
          <t>Optional</t>
        </is>
      </c>
      <c r="F108" s="8" t="inlineStr">
        <is>
          <t>Purview &gt; Informationsschutz &gt; Bezeichnungen</t>
        </is>
      </c>
      <c r="G108" s="8" t="inlineStr">
        <is>
          <t>Automatisches Labeling erfordert eine höhere Lizenz.</t>
        </is>
      </c>
      <c r="H108" s="10" t="n"/>
      <c r="I108" s="11" t="inlineStr">
        <is>
          <t>Offen</t>
        </is>
      </c>
      <c r="J108" s="10" t="n"/>
    </row>
    <row r="109" ht="51" customHeight="1">
      <c r="A109" s="7" t="inlineStr">
        <is>
          <t>D-17</t>
        </is>
      </c>
      <c r="B109" s="8" t="inlineStr">
        <is>
          <t>Datenverlust</t>
        </is>
      </c>
      <c r="C109" s="8" t="inlineStr">
        <is>
          <t>Basis-DLP-Richtlinie aktiviert</t>
        </is>
      </c>
      <c r="D109" s="8" t="inlineStr">
        <is>
          <t>Standard-Vorlagen (zum Beispiel Kreditkarte, IBAN) für Exchange, SharePoint und OneDrive; zunächst im Testmodus mit Richtlinientipps</t>
        </is>
      </c>
      <c r="E109" s="9" t="inlineStr">
        <is>
          <t>Best Practice</t>
        </is>
      </c>
      <c r="F109" s="8" t="inlineStr">
        <is>
          <t>Purview &gt; Datenverlustprävention</t>
        </is>
      </c>
      <c r="G109" s="8" t="inlineStr">
        <is>
          <t>Von Optional auf Best Practice hochgestuft: DLP für Exchange Online, SharePoint Online und OneDrive ist in Business Premium enthalten. Nicht enthalten sind Endpoint DLP und DLP im Teams-Chat, beides erfordert E5-Lizenzierung.</t>
        </is>
      </c>
      <c r="H109" s="10" t="n"/>
      <c r="I109" s="11" t="inlineStr">
        <is>
          <t>Offen</t>
        </is>
      </c>
      <c r="J109" s="10" t="n"/>
    </row>
    <row r="110" ht="25.5" customHeight="1">
      <c r="A110" s="7" t="inlineStr">
        <is>
          <t>D-18</t>
        </is>
      </c>
      <c r="B110" s="8" t="inlineStr">
        <is>
          <t>Aufbewahrung</t>
        </is>
      </c>
      <c r="C110" s="8" t="inlineStr">
        <is>
          <t>Basis-Aufbewahrungsrichtlinie</t>
        </is>
      </c>
      <c r="D110" s="8" t="inlineStr">
        <is>
          <t>Grundlegende Retention für Postfächer und SharePoint definiert</t>
        </is>
      </c>
      <c r="E110" s="9" t="inlineStr">
        <is>
          <t>Optional</t>
        </is>
      </c>
      <c r="F110" s="8" t="inlineStr">
        <is>
          <t>Purview &gt; Datenlebenszyklusverwaltung</t>
        </is>
      </c>
      <c r="G110" s="8" t="inlineStr">
        <is>
          <t>Erweiterte Records-Verwaltung ist nicht enthalten. Achtung: Retention ist kein Backup, siehe E-01.</t>
        </is>
      </c>
      <c r="H110" s="10" t="n"/>
      <c r="I110" s="11" t="inlineStr">
        <is>
          <t>Offen</t>
        </is>
      </c>
      <c r="J110" s="10" t="n"/>
    </row>
    <row r="111" ht="25.5" customHeight="1">
      <c r="A111" s="7" t="inlineStr">
        <is>
          <t>D-19</t>
        </is>
      </c>
      <c r="B111" s="8" t="inlineStr">
        <is>
          <t>Zusammenarbeit</t>
        </is>
      </c>
      <c r="C111" s="8" t="inlineStr">
        <is>
          <t>Gruppen- und Teams-Erstellung sowie Gastzugriff gesteuert</t>
        </is>
      </c>
      <c r="D111" s="8" t="inlineStr">
        <is>
          <t>Gruppenerstellung bei Bedarf auf eine Gruppe eingeschränkt; Gastzugriff und Federation kontrolliert</t>
        </is>
      </c>
      <c r="E111" s="9" t="inlineStr">
        <is>
          <t>Optional</t>
        </is>
      </c>
      <c r="F111" s="8" t="inlineStr">
        <is>
          <t>Entra / Teams Admin / M365 Admin</t>
        </is>
      </c>
      <c r="G111" s="8" t="inlineStr">
        <is>
          <t>Governance der Zusammenarbeit.</t>
        </is>
      </c>
      <c r="H111" s="10" t="n"/>
      <c r="I111" s="11" t="inlineStr">
        <is>
          <t>Offen</t>
        </is>
      </c>
      <c r="J111" s="10" t="n"/>
    </row>
    <row r="112" ht="21.75" customHeight="1">
      <c r="A112" s="13" t="inlineStr">
        <is>
          <t>E   Betrieb &amp; Nachweisführung   ·   Prozessuale Kontrollpunkte</t>
        </is>
      </c>
      <c r="B112" s="23" t="n"/>
      <c r="C112" s="23" t="n"/>
      <c r="D112" s="23" t="n"/>
      <c r="E112" s="23" t="n"/>
      <c r="F112" s="23" t="n"/>
      <c r="G112" s="23" t="n"/>
      <c r="H112" s="23" t="n"/>
      <c r="I112" s="23" t="n"/>
      <c r="J112" s="24" t="n"/>
    </row>
    <row r="113" ht="51" customHeight="1">
      <c r="A113" s="7" t="inlineStr">
        <is>
          <t>E-01</t>
        </is>
      </c>
      <c r="B113" s="8" t="inlineStr">
        <is>
          <t>Datensicherung</t>
        </is>
      </c>
      <c r="C113" s="8" t="inlineStr">
        <is>
          <t>Backup-Strategie definiert und dokumentiert</t>
        </is>
      </c>
      <c r="D113" s="8" t="inlineStr">
        <is>
          <t>Schriftliche Aussage, wie Exchange-, SharePoint-, OneDrive- und Teams-Daten gesichert werden; Drittanbieter-Backup vorhanden oder Restrisiko vom Kunden bestätigt</t>
        </is>
      </c>
      <c r="E113" s="9" t="inlineStr">
        <is>
          <t>Pflicht</t>
        </is>
      </c>
      <c r="F113" s="8" t="inlineStr">
        <is>
          <t>n.a. (Vertrag / Dokumentation)</t>
        </is>
      </c>
      <c r="G113" s="8" t="inlineStr">
        <is>
          <t>NEU in v1.1. Microsoft 365 enthält kein Backup. Papierkorb, Versionierung und Aufbewahrungsrichtlinien sind kein Ersatz. Ohne diese Zeile fehlt der wichtigste Haftungspunkt im Abnahmedokument.</t>
        </is>
      </c>
      <c r="H113" s="10" t="n"/>
      <c r="I113" s="11" t="inlineStr">
        <is>
          <t>Offen</t>
        </is>
      </c>
      <c r="J113" s="10" t="n"/>
    </row>
    <row r="114" ht="51" customHeight="1">
      <c r="A114" s="7" t="inlineStr">
        <is>
          <t>E-02</t>
        </is>
      </c>
      <c r="B114" s="8" t="inlineStr">
        <is>
          <t>Offboarding</t>
        </is>
      </c>
      <c r="C114" s="8" t="inlineStr">
        <is>
          <t>Offboarding-Prozess definiert</t>
        </is>
      </c>
      <c r="D114" s="8" t="inlineStr">
        <is>
          <t>Konto deaktivieren, Sitzungen und Refresh-Token widerrufen, Lizenz entziehen, Postfach in Shared Mailbox konvertieren, Gerät in Intune retiren oder wipen, Berechtigungen entfernen</t>
        </is>
      </c>
      <c r="E114" s="9" t="inlineStr">
        <is>
          <t>Pflicht</t>
        </is>
      </c>
      <c r="F114" s="8" t="inlineStr">
        <is>
          <t>Entra &gt; Benutzer + Intune &gt; Geräte + Exchange Admin</t>
        </is>
      </c>
      <c r="G114" s="8" t="inlineStr">
        <is>
          <t>NEU in v1.1. Häufigste Prüffeststellung in der MSP-Praxis. Ein deaktiviertes Konto mit gültigem Refresh-Token ist weiterhin angemeldet.</t>
        </is>
      </c>
      <c r="H114" s="10" t="n"/>
      <c r="I114" s="11" t="inlineStr">
        <is>
          <t>Offen</t>
        </is>
      </c>
      <c r="J114" s="10" t="n"/>
    </row>
    <row r="115" ht="25.5" customHeight="1">
      <c r="A115" s="7" t="inlineStr">
        <is>
          <t>E-03</t>
        </is>
      </c>
      <c r="B115" s="8" t="inlineStr">
        <is>
          <t>Onboarding</t>
        </is>
      </c>
      <c r="C115" s="8" t="inlineStr">
        <is>
          <t>Joiner-Mover-Leaver-Prozess dokumentiert</t>
        </is>
      </c>
      <c r="D115" s="8" t="inlineStr">
        <is>
          <t>Standardisierte Vorgehensweise für Eintritt, Wechsel und Austritt inklusive Rollen- und Lizenzzuweisung</t>
        </is>
      </c>
      <c r="E115" s="9" t="inlineStr">
        <is>
          <t>Best Practice</t>
        </is>
      </c>
      <c r="F115" s="8" t="inlineStr">
        <is>
          <t>n.a. (Dokumentation)</t>
        </is>
      </c>
      <c r="G115" s="8" t="inlineStr">
        <is>
          <t>NEU in v1.1. Macht E-02 wiederholbar statt personenabhängig.</t>
        </is>
      </c>
      <c r="H115" s="10" t="n"/>
      <c r="I115" s="11" t="inlineStr">
        <is>
          <t>Offen</t>
        </is>
      </c>
      <c r="J115" s="10" t="n"/>
    </row>
    <row r="116" ht="38.25" customHeight="1">
      <c r="A116" s="7" t="inlineStr">
        <is>
          <t>E-04</t>
        </is>
      </c>
      <c r="B116" s="8" t="inlineStr">
        <is>
          <t>Ausnahmen</t>
        </is>
      </c>
      <c r="C116" s="8" t="inlineStr">
        <is>
          <t>Alle Ausnahmen zentral dokumentiert</t>
        </is>
      </c>
      <c r="D116" s="8" t="inlineStr">
        <is>
          <t>AV-Ausschlüsse, ASR-Ausnahmen und CA-Ausnahmen mit Grund, Antragsteller, Datum und Ablauf oder Wiedervorlage</t>
        </is>
      </c>
      <c r="E116" s="9" t="inlineStr">
        <is>
          <t>Best Practice</t>
        </is>
      </c>
      <c r="F116" s="8" t="inlineStr">
        <is>
          <t>n.a. (Dokumentation, ergänzend zu B-14)</t>
        </is>
      </c>
      <c r="G116" s="8" t="inlineStr">
        <is>
          <t>NEU in v1.1. Undokumentierte Ausnahmen sind nach zwei Jahren nicht mehr bewertbar und bleiben deshalb dauerhaft bestehen.</t>
        </is>
      </c>
      <c r="H116" s="10" t="n"/>
      <c r="I116" s="11" t="inlineStr">
        <is>
          <t>Offen</t>
        </is>
      </c>
      <c r="J116" s="10" t="n"/>
    </row>
    <row r="117" ht="38.25" customHeight="1">
      <c r="A117" s="7" t="inlineStr">
        <is>
          <t>E-05</t>
        </is>
      </c>
      <c r="B117" s="8" t="inlineStr">
        <is>
          <t>Alarmierung</t>
        </is>
      </c>
      <c r="C117" s="8" t="inlineStr">
        <is>
          <t>Empfängerkette für Alarme dokumentiert</t>
        </is>
      </c>
      <c r="D117" s="8" t="inlineStr">
        <is>
          <t>Wer erhält Defender-Alerts, Break-Glass-Anmeldealarme und Service-Health-Meldungen, mit Eskalationsstufe und Reaktionszeit</t>
        </is>
      </c>
      <c r="E117" s="9" t="inlineStr">
        <is>
          <t>Best Practice</t>
        </is>
      </c>
      <c r="F117" s="8" t="inlineStr">
        <is>
          <t>n.a. (Dokumentation, ergänzend zu C-07 und 0-02)</t>
        </is>
      </c>
      <c r="G117" s="8" t="inlineStr">
        <is>
          <t>NEU in v1.1. Technisch konfigurierte Alarme ohne benannten Empfänger sind wirkungslos.</t>
        </is>
      </c>
      <c r="H117" s="10" t="n"/>
      <c r="I117" s="11" t="inlineStr">
        <is>
          <t>Offen</t>
        </is>
      </c>
      <c r="J117" s="10" t="n"/>
    </row>
    <row r="118" ht="38.25" customHeight="1">
      <c r="A118" s="7" t="inlineStr">
        <is>
          <t>E-06</t>
        </is>
      </c>
      <c r="B118" s="8" t="inlineStr">
        <is>
          <t>Wiederholung</t>
        </is>
      </c>
      <c r="C118" s="8" t="inlineStr">
        <is>
          <t>Wiederholungsprüfung terminiert</t>
        </is>
      </c>
      <c r="D118" s="8" t="inlineStr">
        <is>
          <t>Turnus festgelegt (Empfehlung: halbjährlich) und Termin für die nächste Überprüfung im Blatt 'Info &amp; Legende' eingetragen</t>
        </is>
      </c>
      <c r="E118" s="9" t="inlineStr">
        <is>
          <t>Pflicht</t>
        </is>
      </c>
      <c r="F118" s="8" t="inlineStr">
        <is>
          <t>n.a. (Dokumentation)</t>
        </is>
      </c>
      <c r="G118" s="8" t="inlineStr">
        <is>
          <t>NEU in v1.1. Ohne Turnus ist die Datei ein Einmal-Vordruck ohne Nachweiswert.</t>
        </is>
      </c>
      <c r="H118" s="10" t="n"/>
      <c r="I118" s="11" t="inlineStr">
        <is>
          <t>Offen</t>
        </is>
      </c>
      <c r="J118" s="10" t="n"/>
    </row>
    <row r="119" ht="38.25" customHeight="1">
      <c r="A119" s="7" t="inlineStr">
        <is>
          <t>E-07</t>
        </is>
      </c>
      <c r="B119" s="8" t="inlineStr">
        <is>
          <t>Abnahme</t>
        </is>
      </c>
      <c r="C119" s="8" t="inlineStr">
        <is>
          <t>Übergabe und Abnahme mit dem Kunden dokumentiert</t>
        </is>
      </c>
      <c r="D119" s="8" t="inlineStr">
        <is>
          <t>Offene Punkte, bewusste Abweichungen und akzeptierte Restrisiken vom Kunden gegengezeichnet</t>
        </is>
      </c>
      <c r="E119" s="9" t="inlineStr">
        <is>
          <t>Best Practice</t>
        </is>
      </c>
      <c r="F119" s="8" t="inlineStr">
        <is>
          <t>n.a. (Dokumentation)</t>
        </is>
      </c>
      <c r="G119" s="8" t="inlineStr">
        <is>
          <t>NEU in v1.1. Schützt beide Seiten und macht 'Optional'-Entscheidungen nachvollziehbar.</t>
        </is>
      </c>
      <c r="H119" s="10" t="n"/>
      <c r="I119" s="11" t="inlineStr">
        <is>
          <t>Offen</t>
        </is>
      </c>
      <c r="J119" s="10" t="n"/>
    </row>
  </sheetData>
  <autoFilter ref="A2:J119"/>
  <mergeCells count="7">
    <mergeCell ref="A1:J1"/>
    <mergeCell ref="A92:J92"/>
    <mergeCell ref="A3:J3"/>
    <mergeCell ref="A34:J34"/>
    <mergeCell ref="A12:J12"/>
    <mergeCell ref="A112:J112"/>
    <mergeCell ref="A68:J68"/>
  </mergeCells>
  <conditionalFormatting sqref="E3:E119">
    <cfRule type="cellIs" priority="6" operator="equal" dxfId="7">
      <formula>"Pflicht"</formula>
    </cfRule>
  </conditionalFormatting>
  <conditionalFormatting sqref="I3:I119">
    <cfRule type="cellIs" priority="2" operator="equal" dxfId="2">
      <formula>"Erledigt"</formula>
    </cfRule>
    <cfRule type="cellIs" priority="3" operator="equal" dxfId="0">
      <formula>"Offen"</formula>
    </cfRule>
    <cfRule type="cellIs" priority="4" operator="equal" dxfId="1">
      <formula>"Teilweise"</formula>
    </cfRule>
    <cfRule type="cellIs" priority="5" operator="equal" dxfId="3">
      <formula>"n.a."</formula>
    </cfRule>
  </conditionalFormatting>
  <dataValidations count="1">
    <dataValidation sqref="I4:I11 I13:I33 I35:I67 I69:I91 I93:I111 I113:I119" showDropDown="0" showInputMessage="0" showErrorMessage="0" allowBlank="1" type="list">
      <formula1>"Offen,Erledigt,Teilweise,n.a."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20"/>
  <sheetViews>
    <sheetView showGridLines="0" workbookViewId="0">
      <pane ySplit="3" topLeftCell="A4" activePane="bottomLeft" state="frozen"/>
      <selection pane="bottomLeft" activeCell="A1" sqref="A1"/>
    </sheetView>
  </sheetViews>
  <sheetFormatPr baseColWidth="8" defaultRowHeight="15"/>
  <cols>
    <col width="8" customWidth="1" min="1" max="1"/>
    <col width="42" customWidth="1" min="2" max="2"/>
    <col width="13" customWidth="1" min="3" max="3"/>
    <col width="22" customWidth="1" min="4" max="4"/>
    <col width="12" customWidth="1" min="5" max="5"/>
    <col width="58" customWidth="1" min="6" max="6"/>
    <col width="34" customWidth="1" min="7" max="7"/>
  </cols>
  <sheetData>
    <row r="1" ht="26" customHeight="1">
      <c r="A1" s="25" t="inlineStr">
        <is>
          <t>Auslese-Mapping – Wie ist jeder Kontrollpunkt automatisiert prüfbar?</t>
        </is>
      </c>
    </row>
    <row r="2" ht="42" customHeight="1">
      <c r="A2" s="26" t="inlineStr">
        <is>
          <t>Methode &amp; Quelle je Nr. (Stand v1.1, 111 Punkte).  Auslesbar:  Ja = 69   ·   Teilweise = 34   ·   Nein/Manuell = 8.  Graph = Microsoft Graph (Graph PowerShell SDK), Exchange PS = Exchange Online PowerShell, Security &amp; Compliance PS = Connect-IPPSSession, SharePoint PS = SPO/PnP, Defender-API = MDE/Security-Portal.</t>
        </is>
      </c>
    </row>
    <row r="3" ht="26" customHeight="1">
      <c r="A3" s="27" t="inlineStr">
        <is>
          <t>Nr.</t>
        </is>
      </c>
      <c r="B3" s="27" t="inlineStr">
        <is>
          <t>Einstellung / Kontrollpunkt</t>
        </is>
      </c>
      <c r="C3" s="27" t="inlineStr">
        <is>
          <t>Tier</t>
        </is>
      </c>
      <c r="D3" s="27" t="inlineStr">
        <is>
          <t>Methode</t>
        </is>
      </c>
      <c r="E3" s="27" t="inlineStr">
        <is>
          <t>Auslesbar</t>
        </is>
      </c>
      <c r="F3" s="27" t="inlineStr">
        <is>
          <t>Quelle (Cmdlet / Graph-Endpoint)</t>
        </is>
      </c>
      <c r="G3" s="27" t="inlineStr">
        <is>
          <t>Bemerkung</t>
        </is>
      </c>
    </row>
    <row r="4" ht="20" customHeight="1">
      <c r="A4" s="28" t="inlineStr">
        <is>
          <t>0   Grundlagen &amp; Tenant   ·   Portal: Microsoft 365 Admin Center / Entra</t>
        </is>
      </c>
    </row>
    <row r="5">
      <c r="A5" s="29" t="inlineStr">
        <is>
          <t>0-01</t>
        </is>
      </c>
      <c r="B5" s="30" t="inlineStr">
        <is>
          <t>Business-Premium-Lizenzen allen aktiven Nutzern zugewiesen</t>
        </is>
      </c>
      <c r="C5" s="31" t="inlineStr">
        <is>
          <t>Pflicht</t>
        </is>
      </c>
      <c r="D5" s="30" t="inlineStr">
        <is>
          <t>Graph</t>
        </is>
      </c>
      <c r="E5" s="32" t="inlineStr">
        <is>
          <t>Ja</t>
        </is>
      </c>
      <c r="F5" s="30" t="inlineStr">
        <is>
          <t>GET /subscribedSkus; /users?$select=assignedLicenses</t>
        </is>
      </c>
      <c r="G5" s="33" t="inlineStr"/>
    </row>
    <row r="6">
      <c r="A6" s="34" t="inlineStr">
        <is>
          <t>0-02</t>
        </is>
      </c>
      <c r="B6" s="35" t="inlineStr">
        <is>
          <t>Break-Glass-/Notfalladministratoren eingerichtet</t>
        </is>
      </c>
      <c r="C6" s="31" t="inlineStr">
        <is>
          <t>Pflicht</t>
        </is>
      </c>
      <c r="D6" s="35" t="inlineStr">
        <is>
          <t>Graph / Manuell</t>
        </is>
      </c>
      <c r="E6" s="36" t="inlineStr">
        <is>
          <t>Teilweise</t>
        </is>
      </c>
      <c r="F6" s="35" t="inlineStr">
        <is>
          <t>GET /users; /roleManagement/directory/roleAssignments; CA-Exclusions in /identity/conditionalAccess/policies</t>
        </is>
      </c>
      <c r="G6" s="37" t="inlineStr">
        <is>
          <t>Existenz &amp; CA-Ausnahme prüfbar; 'überwacht' organisatorisch</t>
        </is>
      </c>
    </row>
    <row r="7">
      <c r="A7" s="29" t="inlineStr">
        <is>
          <t>0-03</t>
        </is>
      </c>
      <c r="B7" s="30" t="inlineStr">
        <is>
          <t>Anzahl Globaler Administratoren minimiert</t>
        </is>
      </c>
      <c r="C7" s="31" t="inlineStr">
        <is>
          <t>Pflicht</t>
        </is>
      </c>
      <c r="D7" s="30" t="inlineStr">
        <is>
          <t>Graph</t>
        </is>
      </c>
      <c r="E7" s="32" t="inlineStr">
        <is>
          <t>Ja</t>
        </is>
      </c>
      <c r="F7" s="30" t="inlineStr">
        <is>
          <t>GET /roleManagement/directory/roleAssignments (Global Admin) bzw. /directoryRoles/{id}/members</t>
        </is>
      </c>
      <c r="G7" s="33" t="inlineStr"/>
    </row>
    <row r="8">
      <c r="A8" s="34" t="inlineStr">
        <is>
          <t>0-04</t>
        </is>
      </c>
      <c r="B8" s="35" t="inlineStr">
        <is>
          <t>Getrennte Admin- und Alltagskonten</t>
        </is>
      </c>
      <c r="C8" s="38" t="inlineStr">
        <is>
          <t>Best Practice</t>
        </is>
      </c>
      <c r="D8" s="35" t="inlineStr">
        <is>
          <t>Manuell</t>
        </is>
      </c>
      <c r="E8" s="39" t="inlineStr">
        <is>
          <t>Nein</t>
        </is>
      </c>
      <c r="F8" s="35" t="inlineStr">
        <is>
          <t>-</t>
        </is>
      </c>
      <c r="G8" s="37" t="inlineStr">
        <is>
          <t>Organisatorisch, nicht maschinell prüfbar</t>
        </is>
      </c>
    </row>
    <row r="9">
      <c r="A9" s="29" t="inlineStr">
        <is>
          <t>0-05</t>
        </is>
      </c>
      <c r="B9" s="30" t="inlineStr">
        <is>
          <t>Sicherheits- und technische Kontakte hinterlegt</t>
        </is>
      </c>
      <c r="C9" s="38" t="inlineStr">
        <is>
          <t>Best Practice</t>
        </is>
      </c>
      <c r="D9" s="30" t="inlineStr">
        <is>
          <t>Graph</t>
        </is>
      </c>
      <c r="E9" s="32" t="inlineStr">
        <is>
          <t>Ja</t>
        </is>
      </c>
      <c r="F9" s="30" t="inlineStr">
        <is>
          <t>GET /organization?$select=technicalNotificationMails,securityComplianceNotificationMails,marketingNotificationEmails</t>
        </is>
      </c>
      <c r="G9" s="33" t="inlineStr"/>
    </row>
    <row r="10">
      <c r="A10" s="34" t="inlineStr">
        <is>
          <t>0-06</t>
        </is>
      </c>
      <c r="B10" s="35" t="inlineStr">
        <is>
          <t>Self-Service-Kauf (Self-Service Purchase) deaktiviert</t>
        </is>
      </c>
      <c r="C10" s="40" t="inlineStr">
        <is>
          <t>Optional</t>
        </is>
      </c>
      <c r="D10" s="35" t="inlineStr">
        <is>
          <t>MSCommerce PS</t>
        </is>
      </c>
      <c r="E10" s="32" t="inlineStr">
        <is>
          <t>Ja</t>
        </is>
      </c>
      <c r="F10" s="35" t="inlineStr">
        <is>
          <t>Get-MSCommerceProductPolicy -PolicyId AllowSelfServicePurchase</t>
        </is>
      </c>
      <c r="G10" s="37" t="inlineStr"/>
    </row>
    <row r="11">
      <c r="A11" s="29" t="inlineStr">
        <is>
          <t>0-07</t>
        </is>
      </c>
      <c r="B11" s="30" t="inlineStr">
        <is>
          <t>Baseline Security Mode geprüft und angewendet</t>
        </is>
      </c>
      <c r="C11" s="31" t="inlineStr">
        <is>
          <t>Pflicht</t>
        </is>
      </c>
      <c r="D11" s="30" t="inlineStr">
        <is>
          <t>Portal / Graph (beta)</t>
        </is>
      </c>
      <c r="E11" s="36" t="inlineStr">
        <is>
          <t>Teilweise</t>
        </is>
      </c>
      <c r="F11" s="30" t="inlineStr">
        <is>
          <t>Portal: M365 Admin &gt; Security &amp; Privacy &gt; Baseline Security Mode; API-Auslesung derzeit begrenzt</t>
        </is>
      </c>
      <c r="G11" s="33" t="inlineStr">
        <is>
          <t>Neu (Ignite 2025) – aktuell überwiegend portal-/manuell prüfbar</t>
        </is>
      </c>
    </row>
    <row r="12">
      <c r="A12" s="34" t="inlineStr">
        <is>
          <t>0-08</t>
        </is>
      </c>
      <c r="B12" s="35" t="inlineStr">
        <is>
          <t>Microsoft Secure Score erfasst und Zielwert vereinbart</t>
        </is>
      </c>
      <c r="C12" s="38" t="inlineStr">
        <is>
          <t>Best Practice</t>
        </is>
      </c>
      <c r="D12" s="35" t="inlineStr">
        <is>
          <t>Graph</t>
        </is>
      </c>
      <c r="E12" s="32" t="inlineStr">
        <is>
          <t>Ja</t>
        </is>
      </c>
      <c r="F12" s="35" t="inlineStr">
        <is>
          <t>GET /security/secureScores?$top=1; /security/secureScoreControlProfiles</t>
        </is>
      </c>
      <c r="G12" s="37" t="inlineStr">
        <is>
          <t>Ausgangswert automatisch; Zielwert-Vereinbarung manuell</t>
        </is>
      </c>
    </row>
    <row r="13" ht="20" customHeight="1">
      <c r="A13" s="28" t="inlineStr">
        <is>
          <t>A   Entra ID  -  Identität &amp; Zugriff   ·   Portal: entra.microsoft.com</t>
        </is>
      </c>
    </row>
    <row r="14">
      <c r="A14" s="29" t="inlineStr">
        <is>
          <t>A-01</t>
        </is>
      </c>
      <c r="B14" s="30" t="inlineStr">
        <is>
          <t>Security Defaults deaktiviert UND CA-Grundschutz aktiv</t>
        </is>
      </c>
      <c r="C14" s="31" t="inlineStr">
        <is>
          <t>Pflicht</t>
        </is>
      </c>
      <c r="D14" s="30" t="inlineStr">
        <is>
          <t>Graph</t>
        </is>
      </c>
      <c r="E14" s="32" t="inlineStr">
        <is>
          <t>Ja</t>
        </is>
      </c>
      <c r="F14" s="30" t="inlineStr">
        <is>
          <t>GET /policies/identitySecurityDefaultsEnforcementPolicy; /identity/conditionalAccess/policies</t>
        </is>
      </c>
      <c r="G14" s="33" t="inlineStr"/>
    </row>
    <row r="15">
      <c r="A15" s="34" t="inlineStr">
        <is>
          <t>A-02</t>
        </is>
      </c>
      <c r="B15" s="35" t="inlineStr">
        <is>
          <t>Auf konvergierte Registrierung migriert</t>
        </is>
      </c>
      <c r="C15" s="31" t="inlineStr">
        <is>
          <t>Pflicht</t>
        </is>
      </c>
      <c r="D15" s="35" t="inlineStr">
        <is>
          <t>Graph (beta)</t>
        </is>
      </c>
      <c r="E15" s="36" t="inlineStr">
        <is>
          <t>Teilweise</t>
        </is>
      </c>
      <c r="F15" s="35" t="inlineStr">
        <is>
          <t>GET /policies/authenticationMethodsPolicy (registrationEnforcement / policyMigrationState)</t>
        </is>
      </c>
      <c r="G15" s="37" t="inlineStr">
        <is>
          <t>Migrationsstatus in beta lesbar</t>
        </is>
      </c>
    </row>
    <row r="16">
      <c r="A16" s="29" t="inlineStr">
        <is>
          <t>A-03</t>
        </is>
      </c>
      <c r="B16" s="30" t="inlineStr">
        <is>
          <t>Starke Methoden bevorzugt, schwache eingeschränkt</t>
        </is>
      </c>
      <c r="C16" s="38" t="inlineStr">
        <is>
          <t>Best Practice</t>
        </is>
      </c>
      <c r="D16" s="30" t="inlineStr">
        <is>
          <t>Graph (beta)</t>
        </is>
      </c>
      <c r="E16" s="32" t="inlineStr">
        <is>
          <t>Ja</t>
        </is>
      </c>
      <c r="F16" s="30" t="inlineStr">
        <is>
          <t>GET /policies/authenticationMethodsPolicy/authenticationMethodConfigurations</t>
        </is>
      </c>
      <c r="G16" s="33" t="inlineStr"/>
    </row>
    <row r="17">
      <c r="A17" s="34" t="inlineStr">
        <is>
          <t>A-04</t>
        </is>
      </c>
      <c r="B17" s="35" t="inlineStr">
        <is>
          <t>CA: MFA für alle Benutzer erzwingen</t>
        </is>
      </c>
      <c r="C17" s="31" t="inlineStr">
        <is>
          <t>Pflicht</t>
        </is>
      </c>
      <c r="D17" s="35" t="inlineStr">
        <is>
          <t>Graph</t>
        </is>
      </c>
      <c r="E17" s="32" t="inlineStr">
        <is>
          <t>Ja</t>
        </is>
      </c>
      <c r="F17" s="35" t="inlineStr">
        <is>
          <t>GET /identity/conditionalAccess/policies</t>
        </is>
      </c>
      <c r="G17" s="37" t="inlineStr"/>
    </row>
    <row r="18">
      <c r="A18" s="29" t="inlineStr">
        <is>
          <t>A-05</t>
        </is>
      </c>
      <c r="B18" s="30" t="inlineStr">
        <is>
          <t>CA: MFA für alle Administratorrollen erzwingen</t>
        </is>
      </c>
      <c r="C18" s="31" t="inlineStr">
        <is>
          <t>Pflicht</t>
        </is>
      </c>
      <c r="D18" s="30" t="inlineStr">
        <is>
          <t>Graph</t>
        </is>
      </c>
      <c r="E18" s="32" t="inlineStr">
        <is>
          <t>Ja</t>
        </is>
      </c>
      <c r="F18" s="30" t="inlineStr">
        <is>
          <t>GET /identity/conditionalAccess/policies (grantControls.authenticationStrength)</t>
        </is>
      </c>
      <c r="G18" s="33" t="inlineStr"/>
    </row>
    <row r="19">
      <c r="A19" s="34" t="inlineStr">
        <is>
          <t>A-06</t>
        </is>
      </c>
      <c r="B19" s="35" t="inlineStr">
        <is>
          <t>CA: Legacy-Authentifizierung blockieren</t>
        </is>
      </c>
      <c r="C19" s="31" t="inlineStr">
        <is>
          <t>Pflicht</t>
        </is>
      </c>
      <c r="D19" s="35" t="inlineStr">
        <is>
          <t>Graph</t>
        </is>
      </c>
      <c r="E19" s="32" t="inlineStr">
        <is>
          <t>Ja</t>
        </is>
      </c>
      <c r="F19" s="35" t="inlineStr">
        <is>
          <t>GET .../policies (conditions.clientAppTypes = other/exchangeActiveSync)</t>
        </is>
      </c>
      <c r="G19" s="37" t="inlineStr"/>
    </row>
    <row r="20">
      <c r="A20" s="29" t="inlineStr">
        <is>
          <t>A-07</t>
        </is>
      </c>
      <c r="B20" s="30" t="inlineStr">
        <is>
          <t>CA: Zugriff nur von konformen oder Entra-hybrid-Geräten</t>
        </is>
      </c>
      <c r="C20" s="38" t="inlineStr">
        <is>
          <t>Best Practice</t>
        </is>
      </c>
      <c r="D20" s="30" t="inlineStr">
        <is>
          <t>Graph</t>
        </is>
      </c>
      <c r="E20" s="32" t="inlineStr">
        <is>
          <t>Ja</t>
        </is>
      </c>
      <c r="F20" s="30" t="inlineStr">
        <is>
          <t>GET .../policies (grantControls.builtInControls = compliantDevice)</t>
        </is>
      </c>
      <c r="G20" s="33" t="inlineStr"/>
    </row>
    <row r="21">
      <c r="A21" s="34" t="inlineStr">
        <is>
          <t>A-08</t>
        </is>
      </c>
      <c r="B21" s="35" t="inlineStr">
        <is>
          <t>CA: Sitzungssteuerung für nicht verwaltete Geräte</t>
        </is>
      </c>
      <c r="C21" s="38" t="inlineStr">
        <is>
          <t>Best Practice</t>
        </is>
      </c>
      <c r="D21" s="35" t="inlineStr">
        <is>
          <t>Graph</t>
        </is>
      </c>
      <c r="E21" s="32" t="inlineStr">
        <is>
          <t>Ja</t>
        </is>
      </c>
      <c r="F21" s="35" t="inlineStr">
        <is>
          <t>GET .../policies (sessionControls: signInFrequency, persistentBrowser)</t>
        </is>
      </c>
      <c r="G21" s="37" t="inlineStr"/>
    </row>
    <row r="22">
      <c r="A22" s="29" t="inlineStr">
        <is>
          <t>A-09</t>
        </is>
      </c>
      <c r="B22" s="30" t="inlineStr">
        <is>
          <t>CA: Länder- und Standortsperre (Named Locations)</t>
        </is>
      </c>
      <c r="C22" s="40" t="inlineStr">
        <is>
          <t>Optional</t>
        </is>
      </c>
      <c r="D22" s="30" t="inlineStr">
        <is>
          <t>Graph</t>
        </is>
      </c>
      <c r="E22" s="32" t="inlineStr">
        <is>
          <t>Ja</t>
        </is>
      </c>
      <c r="F22" s="30" t="inlineStr">
        <is>
          <t>GET .../policies + /identity/conditionalAccess/namedLocations</t>
        </is>
      </c>
      <c r="G22" s="33" t="inlineStr"/>
    </row>
    <row r="23">
      <c r="A23" s="34" t="inlineStr">
        <is>
          <t>A-10</t>
        </is>
      </c>
      <c r="B23" s="35" t="inlineStr">
        <is>
          <t>CA: Gastzugriff einschränken</t>
        </is>
      </c>
      <c r="C23" s="40" t="inlineStr">
        <is>
          <t>Optional</t>
        </is>
      </c>
      <c r="D23" s="35" t="inlineStr">
        <is>
          <t>Graph</t>
        </is>
      </c>
      <c r="E23" s="32" t="inlineStr">
        <is>
          <t>Ja</t>
        </is>
      </c>
      <c r="F23" s="35" t="inlineStr">
        <is>
          <t>GET .../policies (conditions.users = guestsOrExternalUsers)</t>
        </is>
      </c>
      <c r="G23" s="37" t="inlineStr"/>
    </row>
    <row r="24">
      <c r="A24" s="29" t="inlineStr">
        <is>
          <t>A-11</t>
        </is>
      </c>
      <c r="B24" s="30" t="inlineStr">
        <is>
          <t>CA-Richtlinien vor Aktivierung im Report-Only-Modus getestet</t>
        </is>
      </c>
      <c r="C24" s="38" t="inlineStr">
        <is>
          <t>Best Practice</t>
        </is>
      </c>
      <c r="D24" s="30" t="inlineStr">
        <is>
          <t>Graph</t>
        </is>
      </c>
      <c r="E24" s="36" t="inlineStr">
        <is>
          <t>Teilweise</t>
        </is>
      </c>
      <c r="F24" s="30" t="inlineStr">
        <is>
          <t>GET .../policies (state = enabledForReportingButNotEnforced)</t>
        </is>
      </c>
      <c r="G24" s="33" t="inlineStr">
        <is>
          <t>Zustand lesbar; 'ausgewertet' Prozess</t>
        </is>
      </c>
    </row>
    <row r="25">
      <c r="A25" s="34" t="inlineStr">
        <is>
          <t>A-12</t>
        </is>
      </c>
      <c r="B25" s="35" t="inlineStr">
        <is>
          <t>Microsoft-managed CA-Richtlinien inventarisiert</t>
        </is>
      </c>
      <c r="C25" s="31" t="inlineStr">
        <is>
          <t>Pflicht</t>
        </is>
      </c>
      <c r="D25" s="35" t="inlineStr">
        <is>
          <t>Graph</t>
        </is>
      </c>
      <c r="E25" s="32" t="inlineStr">
        <is>
          <t>Ja</t>
        </is>
      </c>
      <c r="F25" s="35" t="inlineStr">
        <is>
          <t>GET .../policies (templateId gesetzt = Microsoft-managed)</t>
        </is>
      </c>
      <c r="G25" s="37" t="inlineStr">
        <is>
          <t>Managed Policies über templateId erkennbar</t>
        </is>
      </c>
    </row>
    <row r="26">
      <c r="A26" s="29" t="inlineStr">
        <is>
          <t>A-13</t>
        </is>
      </c>
      <c r="B26" s="30" t="inlineStr">
        <is>
          <t>Risikobasierter CA, Identity Protection und PIM</t>
        </is>
      </c>
      <c r="C26" s="40" t="inlineStr">
        <is>
          <t>Optional</t>
        </is>
      </c>
      <c r="D26" s="30" t="inlineStr">
        <is>
          <t>Manuell</t>
        </is>
      </c>
      <c r="E26" s="39" t="inlineStr">
        <is>
          <t>Nein</t>
        </is>
      </c>
      <c r="F26" s="30" t="inlineStr">
        <is>
          <t>-</t>
        </is>
      </c>
      <c r="G26" s="33" t="inlineStr">
        <is>
          <t>n.a. in BP – nur Upgrade-Dokumentation</t>
        </is>
      </c>
    </row>
    <row r="27">
      <c r="A27" s="34" t="inlineStr">
        <is>
          <t>A-14</t>
        </is>
      </c>
      <c r="B27" s="35" t="inlineStr">
        <is>
          <t>Self-Service-Passwortrücksetzung aktiviert</t>
        </is>
      </c>
      <c r="C27" s="38" t="inlineStr">
        <is>
          <t>Best Practice</t>
        </is>
      </c>
      <c r="D27" s="35" t="inlineStr">
        <is>
          <t>Graph (beta)</t>
        </is>
      </c>
      <c r="E27" s="36" t="inlineStr">
        <is>
          <t>Teilweise</t>
        </is>
      </c>
      <c r="F27" s="35" t="inlineStr">
        <is>
          <t>GET /policies/authenticationMethodsPolicy; SSPR-Scope unter Directory-Settings</t>
        </is>
      </c>
      <c r="G27" s="37" t="inlineStr"/>
    </row>
    <row r="28">
      <c r="A28" s="29" t="inlineStr">
        <is>
          <t>A-15</t>
        </is>
      </c>
      <c r="B28" s="30" t="inlineStr">
        <is>
          <t>Entra Password Protection und Smart Lockout</t>
        </is>
      </c>
      <c r="C28" s="38" t="inlineStr">
        <is>
          <t>Best Practice</t>
        </is>
      </c>
      <c r="D28" s="30" t="inlineStr">
        <is>
          <t>Graph (beta)</t>
        </is>
      </c>
      <c r="E28" s="36" t="inlineStr">
        <is>
          <t>Teilweise</t>
        </is>
      </c>
      <c r="F28" s="30" t="inlineStr">
        <is>
          <t>Get-MgBetaDirectorySetting ('Password Rule Settings': BannedPasswordList, Lockout*)</t>
        </is>
      </c>
      <c r="G28" s="33" t="inlineStr"/>
    </row>
    <row r="29">
      <c r="A29" s="34" t="inlineStr">
        <is>
          <t>A-16</t>
        </is>
      </c>
      <c r="B29" s="35" t="inlineStr">
        <is>
          <t>Passwort-Ablauf auf 'läuft nie ab' gesetzt</t>
        </is>
      </c>
      <c r="C29" s="38" t="inlineStr">
        <is>
          <t>Best Practice</t>
        </is>
      </c>
      <c r="D29" s="35" t="inlineStr">
        <is>
          <t>Graph</t>
        </is>
      </c>
      <c r="E29" s="32" t="inlineStr">
        <is>
          <t>Ja</t>
        </is>
      </c>
      <c r="F29" s="35" t="inlineStr">
        <is>
          <t>GET /domains (passwordValidityPeriodInDays); /users (passwordPolicies)</t>
        </is>
      </c>
      <c r="G29" s="37" t="inlineStr"/>
    </row>
    <row r="30">
      <c r="A30" s="29" t="inlineStr">
        <is>
          <t>A-17</t>
        </is>
      </c>
      <c r="B30" s="30" t="inlineStr">
        <is>
          <t>Gasteinladungsberechtigungen eingeschränkt</t>
        </is>
      </c>
      <c r="C30" s="38" t="inlineStr">
        <is>
          <t>Best Practice</t>
        </is>
      </c>
      <c r="D30" s="30" t="inlineStr">
        <is>
          <t>Graph</t>
        </is>
      </c>
      <c r="E30" s="32" t="inlineStr">
        <is>
          <t>Ja</t>
        </is>
      </c>
      <c r="F30" s="30" t="inlineStr">
        <is>
          <t>GET /policies/authorizationPolicy (allowInvitesFrom, guestUserRoleId)</t>
        </is>
      </c>
      <c r="G30" s="33" t="inlineStr"/>
    </row>
    <row r="31">
      <c r="A31" s="34" t="inlineStr">
        <is>
          <t>A-18</t>
        </is>
      </c>
      <c r="B31" s="35" t="inlineStr">
        <is>
          <t>Nutzer-Zustimmung eingeschränkt, Admin-Consent-Workflow aktiv</t>
        </is>
      </c>
      <c r="C31" s="38" t="inlineStr">
        <is>
          <t>Best Practice</t>
        </is>
      </c>
      <c r="D31" s="35" t="inlineStr">
        <is>
          <t>Graph</t>
        </is>
      </c>
      <c r="E31" s="32" t="inlineStr">
        <is>
          <t>Ja</t>
        </is>
      </c>
      <c r="F31" s="35" t="inlineStr">
        <is>
          <t>GET /policies/authorizationPolicy (permissionGrantPolicyIdsAssigned); /policies/permissionGrantPolicies</t>
        </is>
      </c>
      <c r="G31" s="37" t="inlineStr"/>
    </row>
    <row r="32">
      <c r="A32" s="29" t="inlineStr">
        <is>
          <t>A-19</t>
        </is>
      </c>
      <c r="B32" s="30" t="inlineStr">
        <is>
          <t>App-Registrierung und Tenant-Erstellung gesperrt</t>
        </is>
      </c>
      <c r="C32" s="38" t="inlineStr">
        <is>
          <t>Best Practice</t>
        </is>
      </c>
      <c r="D32" s="30" t="inlineStr">
        <is>
          <t>Graph</t>
        </is>
      </c>
      <c r="E32" s="32" t="inlineStr">
        <is>
          <t>Ja</t>
        </is>
      </c>
      <c r="F32" s="30" t="inlineStr">
        <is>
          <t>GET /policies/authorizationPolicy (defaultUserRolePermissions.allowedToCreateApps / allowedToCreateTenants)</t>
        </is>
      </c>
      <c r="G32" s="33" t="inlineStr"/>
    </row>
    <row r="33">
      <c r="A33" s="34" t="inlineStr">
        <is>
          <t>A-20</t>
        </is>
      </c>
      <c r="B33" s="35" t="inlineStr">
        <is>
          <t>Geräteeinstellungen: MFA für Join und Registrierung</t>
        </is>
      </c>
      <c r="C33" s="38" t="inlineStr">
        <is>
          <t>Best Practice</t>
        </is>
      </c>
      <c r="D33" s="35" t="inlineStr">
        <is>
          <t>Graph (beta)</t>
        </is>
      </c>
      <c r="E33" s="36" t="inlineStr">
        <is>
          <t>Teilweise</t>
        </is>
      </c>
      <c r="F33" s="35" t="inlineStr">
        <is>
          <t>GET /policies/deviceRegistrationPolicy (multiFactorAuthConfiguration)</t>
        </is>
      </c>
      <c r="G33" s="37" t="inlineStr"/>
    </row>
    <row r="34">
      <c r="A34" s="29" t="inlineStr">
        <is>
          <t>A-21</t>
        </is>
      </c>
      <c r="B34" s="30" t="inlineStr">
        <is>
          <t>Windows Hello for Business bzw. Passkey-Rollout</t>
        </is>
      </c>
      <c r="C34" s="38" t="inlineStr">
        <is>
          <t>Best Practice</t>
        </is>
      </c>
      <c r="D34" s="30" t="inlineStr">
        <is>
          <t>Graph (Intune) / beta</t>
        </is>
      </c>
      <c r="E34" s="36" t="inlineStr">
        <is>
          <t>Teilweise</t>
        </is>
      </c>
      <c r="F34" s="30" t="inlineStr">
        <is>
          <t>Intune Identity Protection Profil (configurationPolicies); authenticationMethodsPolicy (FIDO2)</t>
        </is>
      </c>
      <c r="G34" s="33" t="inlineStr">
        <is>
          <t>Konfig lesbar; 'Rollout' teils Prozess</t>
        </is>
      </c>
    </row>
    <row r="35" ht="20" customHeight="1">
      <c r="A35" s="28" t="inlineStr">
        <is>
          <t>B   Intune  -  Geräte &amp; Endpoint Security   ·   Portal: intune.microsoft.com</t>
        </is>
      </c>
    </row>
    <row r="36">
      <c r="A36" s="29" t="inlineStr">
        <is>
          <t>B-01</t>
        </is>
      </c>
      <c r="B36" s="30" t="inlineStr">
        <is>
          <t>Automatische Windows-Registrierung (MDM) aktiviert</t>
        </is>
      </c>
      <c r="C36" s="31" t="inlineStr">
        <is>
          <t>Pflicht</t>
        </is>
      </c>
      <c r="D36" s="30" t="inlineStr">
        <is>
          <t>Graph</t>
        </is>
      </c>
      <c r="E36" s="32" t="inlineStr">
        <is>
          <t>Ja</t>
        </is>
      </c>
      <c r="F36" s="30" t="inlineStr">
        <is>
          <t>GET /policies/mobileDeviceManagementPolicies (MDM user scope)</t>
        </is>
      </c>
      <c r="G36" s="33" t="inlineStr"/>
    </row>
    <row r="37">
      <c r="A37" s="34" t="inlineStr">
        <is>
          <t>B-02</t>
        </is>
      </c>
      <c r="B37" s="35" t="inlineStr">
        <is>
          <t>Registrierungseinschränkungen konfiguriert</t>
        </is>
      </c>
      <c r="C37" s="38" t="inlineStr">
        <is>
          <t>Best Practice</t>
        </is>
      </c>
      <c r="D37" s="35" t="inlineStr">
        <is>
          <t>Graph</t>
        </is>
      </c>
      <c r="E37" s="32" t="inlineStr">
        <is>
          <t>Ja</t>
        </is>
      </c>
      <c r="F37" s="35" t="inlineStr">
        <is>
          <t>GET /deviceManagement/deviceEnrollmentConfigurations</t>
        </is>
      </c>
      <c r="G37" s="37" t="inlineStr"/>
    </row>
    <row r="38">
      <c r="A38" s="29" t="inlineStr">
        <is>
          <t>B-03</t>
        </is>
      </c>
      <c r="B38" s="30" t="inlineStr">
        <is>
          <t>Windows Autopilot bzw. Bereitstellungsverfahren definiert</t>
        </is>
      </c>
      <c r="C38" s="40" t="inlineStr">
        <is>
          <t>Optional</t>
        </is>
      </c>
      <c r="D38" s="30" t="inlineStr">
        <is>
          <t>Graph</t>
        </is>
      </c>
      <c r="E38" s="36" t="inlineStr">
        <is>
          <t>Teilweise</t>
        </is>
      </c>
      <c r="F38" s="30" t="inlineStr">
        <is>
          <t>GET /deviceManagement/windowsAutopilotDeploymentProfiles</t>
        </is>
      </c>
      <c r="G38" s="33" t="inlineStr">
        <is>
          <t>Profil-Existenz lesbar; bewusste Entscheidung manuell</t>
        </is>
      </c>
    </row>
    <row r="39">
      <c r="A39" s="34" t="inlineStr">
        <is>
          <t>B-04</t>
        </is>
      </c>
      <c r="B39" s="35" t="inlineStr">
        <is>
          <t>Windows-Konformitätsrichtlinie aktiv</t>
        </is>
      </c>
      <c r="C39" s="31" t="inlineStr">
        <is>
          <t>Pflicht</t>
        </is>
      </c>
      <c r="D39" s="35" t="inlineStr">
        <is>
          <t>Graph</t>
        </is>
      </c>
      <c r="E39" s="32" t="inlineStr">
        <is>
          <t>Ja</t>
        </is>
      </c>
      <c r="F39" s="35" t="inlineStr">
        <is>
          <t>GET /deviceManagement/deviceCompliancePolicies</t>
        </is>
      </c>
      <c r="G39" s="37" t="inlineStr"/>
    </row>
    <row r="40">
      <c r="A40" s="29" t="inlineStr">
        <is>
          <t>B-05</t>
        </is>
      </c>
      <c r="B40" s="30" t="inlineStr">
        <is>
          <t>Aktionen bei Nichtkonformität und Kulanzzeitraum</t>
        </is>
      </c>
      <c r="C40" s="38" t="inlineStr">
        <is>
          <t>Best Practice</t>
        </is>
      </c>
      <c r="D40" s="30" t="inlineStr">
        <is>
          <t>Graph</t>
        </is>
      </c>
      <c r="E40" s="32" t="inlineStr">
        <is>
          <t>Ja</t>
        </is>
      </c>
      <c r="F40" s="30" t="inlineStr">
        <is>
          <t>GET /deviceManagement/deviceCompliancePolicies/{id} (scheduledActionsForRule)</t>
        </is>
      </c>
      <c r="G40" s="33" t="inlineStr"/>
    </row>
    <row r="41">
      <c r="A41" s="34" t="inlineStr">
        <is>
          <t>B-06</t>
        </is>
      </c>
      <c r="B41" s="35" t="inlineStr">
        <is>
          <t>Geräte ohne Konformitätsrichtlinie gelten als nicht konform</t>
        </is>
      </c>
      <c r="C41" s="38" t="inlineStr">
        <is>
          <t>Best Practice</t>
        </is>
      </c>
      <c r="D41" s="35" t="inlineStr">
        <is>
          <t>Graph</t>
        </is>
      </c>
      <c r="E41" s="32" t="inlineStr">
        <is>
          <t>Ja</t>
        </is>
      </c>
      <c r="F41" s="35" t="inlineStr">
        <is>
          <t>GET /deviceManagement/settings (secureByDefault)</t>
        </is>
      </c>
      <c r="G41" s="37" t="inlineStr"/>
    </row>
    <row r="42">
      <c r="A42" s="29" t="inlineStr">
        <is>
          <t>B-07</t>
        </is>
      </c>
      <c r="B42" s="30" t="inlineStr">
        <is>
          <t>iOS- und Android-Konformitätsrichtlinie</t>
        </is>
      </c>
      <c r="C42" s="38" t="inlineStr">
        <is>
          <t>Best Practice</t>
        </is>
      </c>
      <c r="D42" s="30" t="inlineStr">
        <is>
          <t>Graph</t>
        </is>
      </c>
      <c r="E42" s="32" t="inlineStr">
        <is>
          <t>Ja</t>
        </is>
      </c>
      <c r="F42" s="30" t="inlineStr">
        <is>
          <t>GET /deviceManagement/deviceCompliancePolicies (iOS/Android)</t>
        </is>
      </c>
      <c r="G42" s="33" t="inlineStr"/>
    </row>
    <row r="43">
      <c r="A43" s="34" t="inlineStr">
        <is>
          <t>B-08</t>
        </is>
      </c>
      <c r="B43" s="35" t="inlineStr">
        <is>
          <t>Defender Antivirus: Echtzeitschutz aktiviert</t>
        </is>
      </c>
      <c r="C43" s="31" t="inlineStr">
        <is>
          <t>Pflicht</t>
        </is>
      </c>
      <c r="D43" s="35" t="inlineStr">
        <is>
          <t>Graph (Intune)</t>
        </is>
      </c>
      <c r="E43" s="32" t="inlineStr">
        <is>
          <t>Ja</t>
        </is>
      </c>
      <c r="F43" s="35" t="inlineStr">
        <is>
          <t>GET /deviceManagement/configurationPolicies (Endpoint Security AV)</t>
        </is>
      </c>
      <c r="G43" s="37" t="inlineStr"/>
    </row>
    <row r="44">
      <c r="A44" s="29" t="inlineStr">
        <is>
          <t>B-09</t>
        </is>
      </c>
      <c r="B44" s="30" t="inlineStr">
        <is>
          <t>Cloudbasierter Schutz und Blockierebene</t>
        </is>
      </c>
      <c r="C44" s="38" t="inlineStr">
        <is>
          <t>Best Practice</t>
        </is>
      </c>
      <c r="D44" s="30" t="inlineStr">
        <is>
          <t>Graph (Intune)</t>
        </is>
      </c>
      <c r="E44" s="32" t="inlineStr">
        <is>
          <t>Ja</t>
        </is>
      </c>
      <c r="F44" s="30" t="inlineStr">
        <is>
          <t>GET /deviceManagement/configurationPolicies (AV: CloudBlockLevel, Sample Submission)</t>
        </is>
      </c>
      <c r="G44" s="33" t="inlineStr"/>
    </row>
    <row r="45">
      <c r="A45" s="34" t="inlineStr">
        <is>
          <t>B-10</t>
        </is>
      </c>
      <c r="B45" s="35" t="inlineStr">
        <is>
          <t>Schutz vor potenziell unerwünschten Apps (PUA) = Blockieren</t>
        </is>
      </c>
      <c r="C45" s="38" t="inlineStr">
        <is>
          <t>Best Practice</t>
        </is>
      </c>
      <c r="D45" s="35" t="inlineStr">
        <is>
          <t>Graph (Intune)</t>
        </is>
      </c>
      <c r="E45" s="32" t="inlineStr">
        <is>
          <t>Ja</t>
        </is>
      </c>
      <c r="F45" s="35" t="inlineStr">
        <is>
          <t>GET /deviceManagement/configurationPolicies (PUAProtection)</t>
        </is>
      </c>
      <c r="G45" s="37" t="inlineStr"/>
    </row>
    <row r="46">
      <c r="A46" s="29" t="inlineStr">
        <is>
          <t>B-11</t>
        </is>
      </c>
      <c r="B46" s="30" t="inlineStr">
        <is>
          <t>Verhaltensüberwachung aktiviert</t>
        </is>
      </c>
      <c r="C46" s="31" t="inlineStr">
        <is>
          <t>Pflicht</t>
        </is>
      </c>
      <c r="D46" s="30" t="inlineStr">
        <is>
          <t>Graph (Intune)</t>
        </is>
      </c>
      <c r="E46" s="32" t="inlineStr">
        <is>
          <t>Ja</t>
        </is>
      </c>
      <c r="F46" s="30" t="inlineStr">
        <is>
          <t>GET /deviceManagement/configurationPolicies (AllowBehaviorMonitoring)</t>
        </is>
      </c>
      <c r="G46" s="33" t="inlineStr"/>
    </row>
    <row r="47">
      <c r="A47" s="34" t="inlineStr">
        <is>
          <t>B-12</t>
        </is>
      </c>
      <c r="B47" s="35" t="inlineStr">
        <is>
          <t>Netzwerkschutz (Network Protection) = Blockieren</t>
        </is>
      </c>
      <c r="C47" s="38" t="inlineStr">
        <is>
          <t>Best Practice</t>
        </is>
      </c>
      <c r="D47" s="35" t="inlineStr">
        <is>
          <t>Graph (Intune)</t>
        </is>
      </c>
      <c r="E47" s="32" t="inlineStr">
        <is>
          <t>Ja</t>
        </is>
      </c>
      <c r="F47" s="35" t="inlineStr">
        <is>
          <t>GET /deviceManagement/configurationPolicies (EnableNetworkProtection)</t>
        </is>
      </c>
      <c r="G47" s="37" t="inlineStr"/>
    </row>
    <row r="48">
      <c r="A48" s="29" t="inlineStr">
        <is>
          <t>B-13</t>
        </is>
      </c>
      <c r="B48" s="30" t="inlineStr">
        <is>
          <t>Scan- und Update-Einstellungen definiert</t>
        </is>
      </c>
      <c r="C48" s="38" t="inlineStr">
        <is>
          <t>Best Practice</t>
        </is>
      </c>
      <c r="D48" s="30" t="inlineStr">
        <is>
          <t>Graph (Intune)</t>
        </is>
      </c>
      <c r="E48" s="32" t="inlineStr">
        <is>
          <t>Ja</t>
        </is>
      </c>
      <c r="F48" s="30" t="inlineStr">
        <is>
          <t>GET /deviceManagement/configurationPolicies (Scan/Signature settings)</t>
        </is>
      </c>
      <c r="G48" s="33" t="inlineStr"/>
    </row>
    <row r="49">
      <c r="A49" s="34" t="inlineStr">
        <is>
          <t>B-14</t>
        </is>
      </c>
      <c r="B49" s="35" t="inlineStr">
        <is>
          <t>AV-Ausschlüsse dokumentiert und minimiert</t>
        </is>
      </c>
      <c r="C49" s="38" t="inlineStr">
        <is>
          <t>Best Practice</t>
        </is>
      </c>
      <c r="D49" s="35" t="inlineStr">
        <is>
          <t>Graph (Intune) / Manuell</t>
        </is>
      </c>
      <c r="E49" s="36" t="inlineStr">
        <is>
          <t>Teilweise</t>
        </is>
      </c>
      <c r="F49" s="35" t="inlineStr">
        <is>
          <t>GET /deviceManagement/configurationPolicies (AV Exclusions)</t>
        </is>
      </c>
      <c r="G49" s="37" t="inlineStr">
        <is>
          <t>Werte lesbar; 'dokumentiert/begründet' manuell → E-04</t>
        </is>
      </c>
    </row>
    <row r="50">
      <c r="A50" s="29" t="inlineStr">
        <is>
          <t>B-15</t>
        </is>
      </c>
      <c r="B50" s="30" t="inlineStr">
        <is>
          <t>Tamper Protection aktiviert</t>
        </is>
      </c>
      <c r="C50" s="31" t="inlineStr">
        <is>
          <t>Pflicht</t>
        </is>
      </c>
      <c r="D50" s="30" t="inlineStr">
        <is>
          <t>Graph (Intune) / Defender</t>
        </is>
      </c>
      <c r="E50" s="36" t="inlineStr">
        <is>
          <t>Teilweise</t>
        </is>
      </c>
      <c r="F50" s="30" t="inlineStr">
        <is>
          <t>configurationPolicies (Windows Security Experience) bzw. Defender Advanced Features</t>
        </is>
      </c>
      <c r="G50" s="33" t="inlineStr">
        <is>
          <t>Tamper tenantweit teils nur Defender-Portal</t>
        </is>
      </c>
    </row>
    <row r="51">
      <c r="A51" s="34" t="inlineStr">
        <is>
          <t>B-16</t>
        </is>
      </c>
      <c r="B51" s="35" t="inlineStr">
        <is>
          <t>Angriffsflächenreduzierung im Blockmodus</t>
        </is>
      </c>
      <c r="C51" s="38" t="inlineStr">
        <is>
          <t>Best Practice</t>
        </is>
      </c>
      <c r="D51" s="35" t="inlineStr">
        <is>
          <t>Graph (Intune)</t>
        </is>
      </c>
      <c r="E51" s="32" t="inlineStr">
        <is>
          <t>Ja</t>
        </is>
      </c>
      <c r="F51" s="35" t="inlineStr">
        <is>
          <t>GET /deviceManagement/configurationPolicies (ASR Rules)</t>
        </is>
      </c>
      <c r="G51" s="37" t="inlineStr"/>
    </row>
    <row r="52">
      <c r="A52" s="29" t="inlineStr">
        <is>
          <t>B-17</t>
        </is>
      </c>
      <c r="B52" s="30" t="inlineStr">
        <is>
          <t>Überwachter Ordnerzugriff (Controlled Folder Access)</t>
        </is>
      </c>
      <c r="C52" s="40" t="inlineStr">
        <is>
          <t>Optional</t>
        </is>
      </c>
      <c r="D52" s="30" t="inlineStr">
        <is>
          <t>Graph (Intune)</t>
        </is>
      </c>
      <c r="E52" s="32" t="inlineStr">
        <is>
          <t>Ja</t>
        </is>
      </c>
      <c r="F52" s="30" t="inlineStr">
        <is>
          <t>GET /deviceManagement/configurationPolicies (ControlledFolderAccess)</t>
        </is>
      </c>
      <c r="G52" s="33" t="inlineStr"/>
    </row>
    <row r="53">
      <c r="A53" s="34" t="inlineStr">
        <is>
          <t>B-18</t>
        </is>
      </c>
      <c r="B53" s="35" t="inlineStr">
        <is>
          <t>Windows-Firewall aktiviert (Domäne, Privat, Öffentlich)</t>
        </is>
      </c>
      <c r="C53" s="31" t="inlineStr">
        <is>
          <t>Pflicht</t>
        </is>
      </c>
      <c r="D53" s="35" t="inlineStr">
        <is>
          <t>Graph (Intune)</t>
        </is>
      </c>
      <c r="E53" s="32" t="inlineStr">
        <is>
          <t>Ja</t>
        </is>
      </c>
      <c r="F53" s="35" t="inlineStr">
        <is>
          <t>GET /deviceManagement/configurationPolicies (Firewall: Domain/Private/Public)</t>
        </is>
      </c>
      <c r="G53" s="37" t="inlineStr"/>
    </row>
    <row r="54">
      <c r="A54" s="29" t="inlineStr">
        <is>
          <t>B-19</t>
        </is>
      </c>
      <c r="B54" s="30" t="inlineStr">
        <is>
          <t>Standardverhalten: eingehend blockieren</t>
        </is>
      </c>
      <c r="C54" s="31" t="inlineStr">
        <is>
          <t>Pflicht</t>
        </is>
      </c>
      <c r="D54" s="30" t="inlineStr">
        <is>
          <t>Graph (Intune)</t>
        </is>
      </c>
      <c r="E54" s="32" t="inlineStr">
        <is>
          <t>Ja</t>
        </is>
      </c>
      <c r="F54" s="30" t="inlineStr">
        <is>
          <t>configurationPolicies (Firewall DefaultInboundAction = Block)</t>
        </is>
      </c>
      <c r="G54" s="33" t="inlineStr"/>
    </row>
    <row r="55">
      <c r="A55" s="34" t="inlineStr">
        <is>
          <t>B-20</t>
        </is>
      </c>
      <c r="B55" s="35" t="inlineStr">
        <is>
          <t>Zusammenführen lokaler Regeln gesteuert</t>
        </is>
      </c>
      <c r="C55" s="40" t="inlineStr">
        <is>
          <t>Optional</t>
        </is>
      </c>
      <c r="D55" s="35" t="inlineStr">
        <is>
          <t>Graph (Intune)</t>
        </is>
      </c>
      <c r="E55" s="32" t="inlineStr">
        <is>
          <t>Ja</t>
        </is>
      </c>
      <c r="F55" s="35" t="inlineStr">
        <is>
          <t>configurationPolicies (Firewall LocalPolicyMerge)</t>
        </is>
      </c>
      <c r="G55" s="37" t="inlineStr"/>
    </row>
    <row r="56">
      <c r="A56" s="29" t="inlineStr">
        <is>
          <t>B-21</t>
        </is>
      </c>
      <c r="B56" s="30" t="inlineStr">
        <is>
          <t>BitLocker erzwungen</t>
        </is>
      </c>
      <c r="C56" s="31" t="inlineStr">
        <is>
          <t>Pflicht</t>
        </is>
      </c>
      <c r="D56" s="30" t="inlineStr">
        <is>
          <t>Graph (Intune)</t>
        </is>
      </c>
      <c r="E56" s="32" t="inlineStr">
        <is>
          <t>Ja</t>
        </is>
      </c>
      <c r="F56" s="30" t="inlineStr">
        <is>
          <t>GET /deviceManagement/configurationPolicies (Disk Encryption / BitLocker)</t>
        </is>
      </c>
      <c r="G56" s="33" t="inlineStr"/>
    </row>
    <row r="57">
      <c r="A57" s="34" t="inlineStr">
        <is>
          <t>B-22</t>
        </is>
      </c>
      <c r="B57" s="35" t="inlineStr">
        <is>
          <t>Wiederherstellungsschlüssel in Entra gesichert</t>
        </is>
      </c>
      <c r="C57" s="31" t="inlineStr">
        <is>
          <t>Pflicht</t>
        </is>
      </c>
      <c r="D57" s="35" t="inlineStr">
        <is>
          <t>Graph</t>
        </is>
      </c>
      <c r="E57" s="36" t="inlineStr">
        <is>
          <t>Teilweise</t>
        </is>
      </c>
      <c r="F57" s="35" t="inlineStr">
        <is>
          <t>Policy lesbar; Escrow-Nachweis: GET /informationProtection/bitlocker/recoveryKeys</t>
        </is>
      </c>
      <c r="G57" s="37" t="inlineStr">
        <is>
          <t>Stichprobe automatisierbar</t>
        </is>
      </c>
    </row>
    <row r="58">
      <c r="A58" s="29" t="inlineStr">
        <is>
          <t>B-23</t>
        </is>
      </c>
      <c r="B58" s="30" t="inlineStr">
        <is>
          <t>Windows LAPS aktiviert</t>
        </is>
      </c>
      <c r="C58" s="31" t="inlineStr">
        <is>
          <t>Pflicht</t>
        </is>
      </c>
      <c r="D58" s="30" t="inlineStr">
        <is>
          <t>Graph</t>
        </is>
      </c>
      <c r="E58" s="36" t="inlineStr">
        <is>
          <t>Teilweise</t>
        </is>
      </c>
      <c r="F58" s="30" t="inlineStr">
        <is>
          <t>GET /policies/deviceRegistrationPolicy (localAdminPassword) + Intune Account Protection</t>
        </is>
      </c>
      <c r="G58" s="33" t="inlineStr"/>
    </row>
    <row r="59">
      <c r="A59" s="34" t="inlineStr">
        <is>
          <t>B-24</t>
        </is>
      </c>
      <c r="B59" s="35" t="inlineStr">
        <is>
          <t>Mitgliedschaft der lokalen Admin-Gruppe gesteuert</t>
        </is>
      </c>
      <c r="C59" s="38" t="inlineStr">
        <is>
          <t>Best Practice</t>
        </is>
      </c>
      <c r="D59" s="35" t="inlineStr">
        <is>
          <t>Graph (Intune)</t>
        </is>
      </c>
      <c r="E59" s="36" t="inlineStr">
        <is>
          <t>Teilweise</t>
        </is>
      </c>
      <c r="F59" s="35" t="inlineStr">
        <is>
          <t>configurationPolicies (LocalUsersAndGroups / Account Protection)</t>
        </is>
      </c>
      <c r="G59" s="37" t="inlineStr"/>
    </row>
    <row r="60">
      <c r="A60" s="29" t="inlineStr">
        <is>
          <t>B-25</t>
        </is>
      </c>
      <c r="B60" s="30" t="inlineStr">
        <is>
          <t>LSA-Schutz (RunAsPPL) aktiviert</t>
        </is>
      </c>
      <c r="C60" s="38" t="inlineStr">
        <is>
          <t>Best Practice</t>
        </is>
      </c>
      <c r="D60" s="30" t="inlineStr">
        <is>
          <t>Graph (Intune)</t>
        </is>
      </c>
      <c r="E60" s="32" t="inlineStr">
        <is>
          <t>Ja</t>
        </is>
      </c>
      <c r="F60" s="30" t="inlineStr">
        <is>
          <t>configurationPolicies / Baseline (ConfigureLsaProtectedProcess)</t>
        </is>
      </c>
      <c r="G60" s="33" t="inlineStr"/>
    </row>
    <row r="61">
      <c r="A61" s="34" t="inlineStr">
        <is>
          <t>B-26</t>
        </is>
      </c>
      <c r="B61" s="35" t="inlineStr">
        <is>
          <t>Credential Guard  -  LIZENZPRÜFUNG ERFORDERLICH</t>
        </is>
      </c>
      <c r="C61" s="40" t="inlineStr">
        <is>
          <t>Optional</t>
        </is>
      </c>
      <c r="D61" s="35" t="inlineStr">
        <is>
          <t>Graph (Intune) / Manuell</t>
        </is>
      </c>
      <c r="E61" s="36" t="inlineStr">
        <is>
          <t>Teilweise</t>
        </is>
      </c>
      <c r="F61" s="35" t="inlineStr">
        <is>
          <t>configurationPolicies lesbar</t>
        </is>
      </c>
      <c r="G61" s="37" t="inlineStr">
        <is>
          <t>Lizenzberechtigung (Enterprise/Education) manuell – bei BP oft n.a.</t>
        </is>
      </c>
    </row>
    <row r="62">
      <c r="A62" s="29" t="inlineStr">
        <is>
          <t>B-27</t>
        </is>
      </c>
      <c r="B62" s="30" t="inlineStr">
        <is>
          <t>Windows-Update-Ringe konfiguriert</t>
        </is>
      </c>
      <c r="C62" s="38" t="inlineStr">
        <is>
          <t>Best Practice</t>
        </is>
      </c>
      <c r="D62" s="30" t="inlineStr">
        <is>
          <t>Graph</t>
        </is>
      </c>
      <c r="E62" s="32" t="inlineStr">
        <is>
          <t>Ja</t>
        </is>
      </c>
      <c r="F62" s="30" t="inlineStr">
        <is>
          <t>GET /deviceManagement/deviceConfigurations (windowsUpdateForBusiness) bzw. configurationPolicies</t>
        </is>
      </c>
      <c r="G62" s="33" t="inlineStr"/>
    </row>
    <row r="63">
      <c r="A63" s="34" t="inlineStr">
        <is>
          <t>B-28</t>
        </is>
      </c>
      <c r="B63" s="35" t="inlineStr">
        <is>
          <t>Feature-Update-Ziel gesteuert</t>
        </is>
      </c>
      <c r="C63" s="40" t="inlineStr">
        <is>
          <t>Optional</t>
        </is>
      </c>
      <c r="D63" s="35" t="inlineStr">
        <is>
          <t>Graph</t>
        </is>
      </c>
      <c r="E63" s="32" t="inlineStr">
        <is>
          <t>Ja</t>
        </is>
      </c>
      <c r="F63" s="35" t="inlineStr">
        <is>
          <t>GET /deviceManagement/windowsFeatureUpdateProfiles</t>
        </is>
      </c>
      <c r="G63" s="37" t="inlineStr"/>
    </row>
    <row r="64">
      <c r="A64" s="29" t="inlineStr">
        <is>
          <t>B-29</t>
        </is>
      </c>
      <c r="B64" s="30" t="inlineStr">
        <is>
          <t>Sicherheitsbaseline für Windows zugewiesen</t>
        </is>
      </c>
      <c r="C64" s="38" t="inlineStr">
        <is>
          <t>Best Practice</t>
        </is>
      </c>
      <c r="D64" s="30" t="inlineStr">
        <is>
          <t>Graph</t>
        </is>
      </c>
      <c r="E64" s="36" t="inlineStr">
        <is>
          <t>Teilweise</t>
        </is>
      </c>
      <c r="F64" s="30" t="inlineStr">
        <is>
          <t>GET /deviceManagement/intents (bzw. configurationPolicies templateFamily = baseline)</t>
        </is>
      </c>
      <c r="G64" s="33" t="inlineStr">
        <is>
          <t>Zuweisung lesbar; 'bewusst getunt' manuell</t>
        </is>
      </c>
    </row>
    <row r="65">
      <c r="A65" s="34" t="inlineStr">
        <is>
          <t>B-30</t>
        </is>
      </c>
      <c r="B65" s="35" t="inlineStr">
        <is>
          <t>Defender for Endpoint Security Baseline</t>
        </is>
      </c>
      <c r="C65" s="38" t="inlineStr">
        <is>
          <t>Best Practice</t>
        </is>
      </c>
      <c r="D65" s="35" t="inlineStr">
        <is>
          <t>Graph</t>
        </is>
      </c>
      <c r="E65" s="36" t="inlineStr">
        <is>
          <t>Teilweise</t>
        </is>
      </c>
      <c r="F65" s="35" t="inlineStr">
        <is>
          <t>GET /deviceManagement/intents (Defender for Endpoint Baseline)</t>
        </is>
      </c>
      <c r="G65" s="37" t="inlineStr"/>
    </row>
    <row r="66">
      <c r="A66" s="29" t="inlineStr">
        <is>
          <t>B-31</t>
        </is>
      </c>
      <c r="B66" s="30" t="inlineStr">
        <is>
          <t>Microsoft-Edge-Baseline</t>
        </is>
      </c>
      <c r="C66" s="40" t="inlineStr">
        <is>
          <t>Optional</t>
        </is>
      </c>
      <c r="D66" s="30" t="inlineStr">
        <is>
          <t>Graph</t>
        </is>
      </c>
      <c r="E66" s="36" t="inlineStr">
        <is>
          <t>Teilweise</t>
        </is>
      </c>
      <c r="F66" s="30" t="inlineStr">
        <is>
          <t>GET /deviceManagement/intents / configurationPolicies (Edge)</t>
        </is>
      </c>
      <c r="G66" s="33" t="inlineStr"/>
    </row>
    <row r="67">
      <c r="A67" s="34" t="inlineStr">
        <is>
          <t>B-32</t>
        </is>
      </c>
      <c r="B67" s="35" t="inlineStr">
        <is>
          <t>App Protection Policies (MAM) für iOS und Android</t>
        </is>
      </c>
      <c r="C67" s="38" t="inlineStr">
        <is>
          <t>Best Practice</t>
        </is>
      </c>
      <c r="D67" s="35" t="inlineStr">
        <is>
          <t>Graph</t>
        </is>
      </c>
      <c r="E67" s="32" t="inlineStr">
        <is>
          <t>Ja</t>
        </is>
      </c>
      <c r="F67" s="35" t="inlineStr">
        <is>
          <t>GET /deviceAppManagement/iosManagedAppProtections, androidManagedAppProtections</t>
        </is>
      </c>
      <c r="G67" s="37" t="inlineStr"/>
    </row>
    <row r="68">
      <c r="A68" s="29" t="inlineStr">
        <is>
          <t>B-33</t>
        </is>
      </c>
      <c r="B68" s="30" t="inlineStr">
        <is>
          <t>Intune-Defender-Connector aktiv, Geräte onboarded</t>
        </is>
      </c>
      <c r="C68" s="31" t="inlineStr">
        <is>
          <t>Pflicht</t>
        </is>
      </c>
      <c r="D68" s="30" t="inlineStr">
        <is>
          <t>Graph</t>
        </is>
      </c>
      <c r="E68" s="32" t="inlineStr">
        <is>
          <t>Ja</t>
        </is>
      </c>
      <c r="F68" s="30" t="inlineStr">
        <is>
          <t>GET /deviceManagement/... (Defender for Endpoint Connector state)</t>
        </is>
      </c>
      <c r="G68" s="33" t="inlineStr"/>
    </row>
    <row r="69" ht="20" customHeight="1">
      <c r="A69" s="28" t="inlineStr">
        <is>
          <t>C   Defender  -  Endpoint &amp; E-Mail   ·   Portal: security.microsoft.com</t>
        </is>
      </c>
    </row>
    <row r="70">
      <c r="A70" s="29" t="inlineStr">
        <is>
          <t>C-01</t>
        </is>
      </c>
      <c r="B70" s="30" t="inlineStr">
        <is>
          <t>Onboarding vollständig, alle Endpunkte sichtbar</t>
        </is>
      </c>
      <c r="C70" s="31" t="inlineStr">
        <is>
          <t>Pflicht</t>
        </is>
      </c>
      <c r="D70" s="30" t="inlineStr">
        <is>
          <t>Defender-API / Graph</t>
        </is>
      </c>
      <c r="E70" s="36" t="inlineStr">
        <is>
          <t>Teilweise</t>
        </is>
      </c>
      <c r="F70" s="30" t="inlineStr">
        <is>
          <t>MDE 'List machines' (Security/Graph) vs. Intune-Bestand abgleichen</t>
        </is>
      </c>
      <c r="G70" s="33" t="inlineStr">
        <is>
          <t>Automatischer Soll-Ist-Abgleich möglich</t>
        </is>
      </c>
    </row>
    <row r="71">
      <c r="A71" s="34" t="inlineStr">
        <is>
          <t>C-02</t>
        </is>
      </c>
      <c r="B71" s="35" t="inlineStr">
        <is>
          <t>EDR im Blockmodus verifiziert</t>
        </is>
      </c>
      <c r="C71" s="31" t="inlineStr">
        <is>
          <t>Pflicht</t>
        </is>
      </c>
      <c r="D71" s="35" t="inlineStr">
        <is>
          <t>Defender-API</t>
        </is>
      </c>
      <c r="E71" s="36" t="inlineStr">
        <is>
          <t>Teilweise</t>
        </is>
      </c>
      <c r="F71" s="35" t="inlineStr">
        <is>
          <t>MDE Advanced Features (EDR Block Mode)</t>
        </is>
      </c>
      <c r="G71" s="37" t="inlineStr">
        <is>
          <t>API-Abdeckung begrenzt – teils Portal</t>
        </is>
      </c>
    </row>
    <row r="72">
      <c r="A72" s="29" t="inlineStr">
        <is>
          <t>C-03</t>
        </is>
      </c>
      <c r="B72" s="30" t="inlineStr">
        <is>
          <t>Automatisierte Untersuchung und Reaktion (AIR)</t>
        </is>
      </c>
      <c r="C72" s="38" t="inlineStr">
        <is>
          <t>Best Practice</t>
        </is>
      </c>
      <c r="D72" s="30" t="inlineStr">
        <is>
          <t>Defender-API</t>
        </is>
      </c>
      <c r="E72" s="36" t="inlineStr">
        <is>
          <t>Teilweise</t>
        </is>
      </c>
      <c r="F72" s="30" t="inlineStr">
        <is>
          <t>MDE Advanced Features (Automated Investigation)</t>
        </is>
      </c>
      <c r="G72" s="33" t="inlineStr">
        <is>
          <t>API-Abdeckung begrenzt</t>
        </is>
      </c>
    </row>
    <row r="73">
      <c r="A73" s="34" t="inlineStr">
        <is>
          <t>C-04</t>
        </is>
      </c>
      <c r="B73" s="35" t="inlineStr">
        <is>
          <t>Erweiterte Funktionen geprüft</t>
        </is>
      </c>
      <c r="C73" s="38" t="inlineStr">
        <is>
          <t>Best Practice</t>
        </is>
      </c>
      <c r="D73" s="35" t="inlineStr">
        <is>
          <t>Defender-API</t>
        </is>
      </c>
      <c r="E73" s="36" t="inlineStr">
        <is>
          <t>Teilweise</t>
        </is>
      </c>
      <c r="F73" s="35" t="inlineStr">
        <is>
          <t>MDE Advanced Features (Tamper, Web Filtering, Block at First Sight)</t>
        </is>
      </c>
      <c r="G73" s="37" t="inlineStr">
        <is>
          <t>API-Abdeckung begrenzt</t>
        </is>
      </c>
    </row>
    <row r="74">
      <c r="A74" s="29" t="inlineStr">
        <is>
          <t>C-05</t>
        </is>
      </c>
      <c r="B74" s="30" t="inlineStr">
        <is>
          <t>Webinhaltsfilterung konfiguriert</t>
        </is>
      </c>
      <c r="C74" s="40" t="inlineStr">
        <is>
          <t>Optional</t>
        </is>
      </c>
      <c r="D74" s="30" t="inlineStr">
        <is>
          <t>Defender-API</t>
        </is>
      </c>
      <c r="E74" s="36" t="inlineStr">
        <is>
          <t>Teilweise</t>
        </is>
      </c>
      <c r="F74" s="30" t="inlineStr">
        <is>
          <t>MDE Web Content Filtering Policies</t>
        </is>
      </c>
      <c r="G74" s="33" t="inlineStr">
        <is>
          <t>teils nur Portal</t>
        </is>
      </c>
    </row>
    <row r="75">
      <c r="A75" s="34" t="inlineStr">
        <is>
          <t>C-06</t>
        </is>
      </c>
      <c r="B75" s="35" t="inlineStr">
        <is>
          <t>Sicherheitsrisikomanagement ausgewertet</t>
        </is>
      </c>
      <c r="C75" s="38" t="inlineStr">
        <is>
          <t>Best Practice</t>
        </is>
      </c>
      <c r="D75" s="35" t="inlineStr">
        <is>
          <t>Defender-API / Manuell</t>
        </is>
      </c>
      <c r="E75" s="36" t="inlineStr">
        <is>
          <t>Teilweise</t>
        </is>
      </c>
      <c r="F75" s="35" t="inlineStr">
        <is>
          <t>TVM Recommendations (API) lesbar</t>
        </is>
      </c>
      <c r="G75" s="37" t="inlineStr">
        <is>
          <t>'ausgewertet/remediiert' = Prozess</t>
        </is>
      </c>
    </row>
    <row r="76">
      <c r="A76" s="29" t="inlineStr">
        <is>
          <t>C-07</t>
        </is>
      </c>
      <c r="B76" s="30" t="inlineStr">
        <is>
          <t>Alert-E-Mail-Benachrichtigungen konfiguriert</t>
        </is>
      </c>
      <c r="C76" s="38" t="inlineStr">
        <is>
          <t>Best Practice</t>
        </is>
      </c>
      <c r="D76" s="30" t="inlineStr">
        <is>
          <t>Defender-API</t>
        </is>
      </c>
      <c r="E76" s="36" t="inlineStr">
        <is>
          <t>Teilweise</t>
        </is>
      </c>
      <c r="F76" s="30" t="inlineStr">
        <is>
          <t>MDE E-Mail-Benachrichtigungsregeln</t>
        </is>
      </c>
      <c r="G76" s="33" t="inlineStr">
        <is>
          <t>API begrenzt</t>
        </is>
      </c>
    </row>
    <row r="77">
      <c r="A77" s="34" t="inlineStr">
        <is>
          <t>C-08</t>
        </is>
      </c>
      <c r="B77" s="35" t="inlineStr">
        <is>
          <t>Defender for Business servers Add-on</t>
        </is>
      </c>
      <c r="C77" s="40" t="inlineStr">
        <is>
          <t>Optional</t>
        </is>
      </c>
      <c r="D77" s="35" t="inlineStr">
        <is>
          <t>Graph / Manuell</t>
        </is>
      </c>
      <c r="E77" s="36" t="inlineStr">
        <is>
          <t>Teilweise</t>
        </is>
      </c>
      <c r="F77" s="35" t="inlineStr">
        <is>
          <t>Lizenz: GET /subscribedSkus (Server-Add-on)</t>
        </is>
      </c>
      <c r="G77" s="37" t="inlineStr">
        <is>
          <t>Server-Onboarding manuell</t>
        </is>
      </c>
    </row>
    <row r="78">
      <c r="A78" s="29" t="inlineStr">
        <is>
          <t>C-09</t>
        </is>
      </c>
      <c r="B78" s="30" t="inlineStr">
        <is>
          <t>Schutzkonzept E-Mail festgelegt: Weg A oder Weg B</t>
        </is>
      </c>
      <c r="C78" s="31" t="inlineStr">
        <is>
          <t>Pflicht</t>
        </is>
      </c>
      <c r="D78" s="30" t="inlineStr">
        <is>
          <t>Exchange PS</t>
        </is>
      </c>
      <c r="E78" s="36" t="inlineStr">
        <is>
          <t>Teilweise</t>
        </is>
      </c>
      <c r="F78" s="30" t="inlineStr">
        <is>
          <t>Get-EOPProtectionPolicyRule; Get-ATPProtectionPolicyRule; Get-*FilterPolicy</t>
        </is>
      </c>
      <c r="G78" s="33" t="inlineStr">
        <is>
          <t>Ist-Zustand lesbar; 'Entscheidung dokumentiert' manuell</t>
        </is>
      </c>
    </row>
    <row r="79">
      <c r="A79" s="34" t="inlineStr">
        <is>
          <t>C-10</t>
        </is>
      </c>
      <c r="B79" s="35" t="inlineStr">
        <is>
          <t>Voreingestellte Sicherheitsrichtlinie aktiviert</t>
        </is>
      </c>
      <c r="C79" s="38" t="inlineStr">
        <is>
          <t>Best Practice</t>
        </is>
      </c>
      <c r="D79" s="35" t="inlineStr">
        <is>
          <t>Exchange PS</t>
        </is>
      </c>
      <c r="E79" s="32" t="inlineStr">
        <is>
          <t>Ja</t>
        </is>
      </c>
      <c r="F79" s="35" t="inlineStr">
        <is>
          <t>Get-EOPProtectionPolicyRule / Get-ATPProtectionPolicyRule (State, Priority)</t>
        </is>
      </c>
      <c r="G79" s="37" t="inlineStr"/>
    </row>
    <row r="80">
      <c r="A80" s="29" t="inlineStr">
        <is>
          <t>C-11</t>
        </is>
      </c>
      <c r="B80" s="30" t="inlineStr">
        <is>
          <t>Preset-Grenzen geprüft</t>
        </is>
      </c>
      <c r="C80" s="38" t="inlineStr">
        <is>
          <t>Best Practice</t>
        </is>
      </c>
      <c r="D80" s="30" t="inlineStr">
        <is>
          <t>Exchange PS</t>
        </is>
      </c>
      <c r="E80" s="36" t="inlineStr">
        <is>
          <t>Teilweise</t>
        </is>
      </c>
      <c r="F80" s="30" t="inlineStr">
        <is>
          <t>Get-AntiPhishPolicy (TargetedUsersToProtect, TargetedDomainsToProtect)</t>
        </is>
      </c>
      <c r="G80" s="33" t="inlineStr">
        <is>
          <t>Anzahl lesbar; Bewertung 'Limit voll' manuell</t>
        </is>
      </c>
    </row>
    <row r="81">
      <c r="A81" s="34" t="inlineStr">
        <is>
          <t>C-12</t>
        </is>
      </c>
      <c r="B81" s="35" t="inlineStr">
        <is>
          <t>Safe Attachments aktiviert</t>
        </is>
      </c>
      <c r="C81" s="31" t="inlineStr">
        <is>
          <t>Pflicht</t>
        </is>
      </c>
      <c r="D81" s="35" t="inlineStr">
        <is>
          <t>Exchange PS</t>
        </is>
      </c>
      <c r="E81" s="32" t="inlineStr">
        <is>
          <t>Ja</t>
        </is>
      </c>
      <c r="F81" s="35" t="inlineStr">
        <is>
          <t>Get-SafeAttachmentPolicy / Get-SafeAttachmentRule</t>
        </is>
      </c>
      <c r="G81" s="37" t="inlineStr"/>
    </row>
    <row r="82">
      <c r="A82" s="29" t="inlineStr">
        <is>
          <t>C-13</t>
        </is>
      </c>
      <c r="B82" s="30" t="inlineStr">
        <is>
          <t>Safe Links aktiviert</t>
        </is>
      </c>
      <c r="C82" s="31" t="inlineStr">
        <is>
          <t>Pflicht</t>
        </is>
      </c>
      <c r="D82" s="30" t="inlineStr">
        <is>
          <t>Exchange PS</t>
        </is>
      </c>
      <c r="E82" s="32" t="inlineStr">
        <is>
          <t>Ja</t>
        </is>
      </c>
      <c r="F82" s="30" t="inlineStr">
        <is>
          <t>Get-SafeLinksPolicy / Get-SafeLinksRule</t>
        </is>
      </c>
      <c r="G82" s="33" t="inlineStr"/>
    </row>
    <row r="83">
      <c r="A83" s="34" t="inlineStr">
        <is>
          <t>C-14</t>
        </is>
      </c>
      <c r="B83" s="35" t="inlineStr">
        <is>
          <t>Anti-Phishing: Spoof- und Impersonation-Schutz</t>
        </is>
      </c>
      <c r="C83" s="31" t="inlineStr">
        <is>
          <t>Pflicht</t>
        </is>
      </c>
      <c r="D83" s="35" t="inlineStr">
        <is>
          <t>Exchange PS</t>
        </is>
      </c>
      <c r="E83" s="32" t="inlineStr">
        <is>
          <t>Ja</t>
        </is>
      </c>
      <c r="F83" s="35" t="inlineStr">
        <is>
          <t>Get-AntiPhishPolicy / Get-AntiPhishRule (Spoof, Impersonation)</t>
        </is>
      </c>
      <c r="G83" s="37" t="inlineStr"/>
    </row>
    <row r="84">
      <c r="A84" s="29" t="inlineStr">
        <is>
          <t>C-15</t>
        </is>
      </c>
      <c r="B84" s="30" t="inlineStr">
        <is>
          <t>Mailbox Intelligence aktiviert</t>
        </is>
      </c>
      <c r="C84" s="38" t="inlineStr">
        <is>
          <t>Best Practice</t>
        </is>
      </c>
      <c r="D84" s="30" t="inlineStr">
        <is>
          <t>Exchange PS</t>
        </is>
      </c>
      <c r="E84" s="32" t="inlineStr">
        <is>
          <t>Ja</t>
        </is>
      </c>
      <c r="F84" s="30" t="inlineStr">
        <is>
          <t>Get-AntiPhishPolicy (EnableMailboxIntelligence, ...Protection)</t>
        </is>
      </c>
      <c r="G84" s="33" t="inlineStr"/>
    </row>
    <row r="85">
      <c r="A85" s="34" t="inlineStr">
        <is>
          <t>C-16</t>
        </is>
      </c>
      <c r="B85" s="35" t="inlineStr">
        <is>
          <t>Eingehende Anti-Spam-Richtlinie gehärtet</t>
        </is>
      </c>
      <c r="C85" s="31" t="inlineStr">
        <is>
          <t>Pflicht</t>
        </is>
      </c>
      <c r="D85" s="35" t="inlineStr">
        <is>
          <t>Exchange PS</t>
        </is>
      </c>
      <c r="E85" s="32" t="inlineStr">
        <is>
          <t>Ja</t>
        </is>
      </c>
      <c r="F85" s="35" t="inlineStr">
        <is>
          <t>Get-HostedContentFilterPolicy / -Rule</t>
        </is>
      </c>
      <c r="G85" s="37" t="inlineStr"/>
    </row>
    <row r="86">
      <c r="A86" s="29" t="inlineStr">
        <is>
          <t>C-17</t>
        </is>
      </c>
      <c r="B86" s="30" t="inlineStr">
        <is>
          <t>Common Attachment Filter aktiv</t>
        </is>
      </c>
      <c r="C86" s="38" t="inlineStr">
        <is>
          <t>Best Practice</t>
        </is>
      </c>
      <c r="D86" s="30" t="inlineStr">
        <is>
          <t>Exchange PS</t>
        </is>
      </c>
      <c r="E86" s="32" t="inlineStr">
        <is>
          <t>Ja</t>
        </is>
      </c>
      <c r="F86" s="30" t="inlineStr">
        <is>
          <t>Get-MalwareFilterPolicy (EnableFileFilter, FileTypes)</t>
        </is>
      </c>
      <c r="G86" s="33" t="inlineStr"/>
    </row>
    <row r="87">
      <c r="A87" s="34" t="inlineStr">
        <is>
          <t>C-18</t>
        </is>
      </c>
      <c r="B87" s="35" t="inlineStr">
        <is>
          <t>Safe Attachments für SharePoint, OneDrive und Teams</t>
        </is>
      </c>
      <c r="C87" s="38" t="inlineStr">
        <is>
          <t>Best Practice</t>
        </is>
      </c>
      <c r="D87" s="35" t="inlineStr">
        <is>
          <t>Exchange PS</t>
        </is>
      </c>
      <c r="E87" s="32" t="inlineStr">
        <is>
          <t>Ja</t>
        </is>
      </c>
      <c r="F87" s="35" t="inlineStr">
        <is>
          <t>Get-AtpPolicyForO365 (EnableATPForSPOTeamsODB)</t>
        </is>
      </c>
      <c r="G87" s="37" t="inlineStr"/>
    </row>
    <row r="88">
      <c r="A88" s="29" t="inlineStr">
        <is>
          <t>C-19</t>
        </is>
      </c>
      <c r="B88" s="30" t="inlineStr">
        <is>
          <t>Ausgehende Anti-Spam-Richtlinie und Auto-Forwarding-Sperre</t>
        </is>
      </c>
      <c r="C88" s="31" t="inlineStr">
        <is>
          <t>Pflicht</t>
        </is>
      </c>
      <c r="D88" s="30" t="inlineStr">
        <is>
          <t>Exchange PS</t>
        </is>
      </c>
      <c r="E88" s="32" t="inlineStr">
        <is>
          <t>Ja</t>
        </is>
      </c>
      <c r="F88" s="30" t="inlineStr">
        <is>
          <t>Get-HostedOutboundSpamFilterPolicy (AutoForwardingMode, Limits)</t>
        </is>
      </c>
      <c r="G88" s="33" t="inlineStr"/>
    </row>
    <row r="89">
      <c r="A89" s="34" t="inlineStr">
        <is>
          <t>C-20</t>
        </is>
      </c>
      <c r="B89" s="35" t="inlineStr">
        <is>
          <t>Verbindungsfilterrichtlinie geprüft</t>
        </is>
      </c>
      <c r="C89" s="38" t="inlineStr">
        <is>
          <t>Best Practice</t>
        </is>
      </c>
      <c r="D89" s="35" t="inlineStr">
        <is>
          <t>Exchange PS</t>
        </is>
      </c>
      <c r="E89" s="32" t="inlineStr">
        <is>
          <t>Ja</t>
        </is>
      </c>
      <c r="F89" s="35" t="inlineStr">
        <is>
          <t>Get-HostedConnectionFilterPolicy (IPAllowList, EnableSafeList)</t>
        </is>
      </c>
      <c r="G89" s="37" t="inlineStr"/>
    </row>
    <row r="90">
      <c r="A90" s="29" t="inlineStr">
        <is>
          <t>C-21</t>
        </is>
      </c>
      <c r="B90" s="30" t="inlineStr">
        <is>
          <t>Zero-hour Auto Purge (ZAP) aktiviert</t>
        </is>
      </c>
      <c r="C90" s="38" t="inlineStr">
        <is>
          <t>Best Practice</t>
        </is>
      </c>
      <c r="D90" s="30" t="inlineStr">
        <is>
          <t>Exchange PS</t>
        </is>
      </c>
      <c r="E90" s="32" t="inlineStr">
        <is>
          <t>Ja</t>
        </is>
      </c>
      <c r="F90" s="30" t="inlineStr">
        <is>
          <t>Get-HostedContentFilterPolicy (ZapEnabled) / Get-MalwareFilterPolicy (ZapEnabled)</t>
        </is>
      </c>
      <c r="G90" s="33" t="inlineStr"/>
    </row>
    <row r="91">
      <c r="A91" s="34" t="inlineStr">
        <is>
          <t>C-22</t>
        </is>
      </c>
      <c r="B91" s="35" t="inlineStr">
        <is>
          <t>Quarantäne-Richtlinien und Benachrichtigungen</t>
        </is>
      </c>
      <c r="C91" s="38" t="inlineStr">
        <is>
          <t>Best Practice</t>
        </is>
      </c>
      <c r="D91" s="35" t="inlineStr">
        <is>
          <t>Exchange PS</t>
        </is>
      </c>
      <c r="E91" s="32" t="inlineStr">
        <is>
          <t>Ja</t>
        </is>
      </c>
      <c r="F91" s="35" t="inlineStr">
        <is>
          <t>Get-QuarantinePolicy</t>
        </is>
      </c>
      <c r="G91" s="37" t="inlineStr"/>
    </row>
    <row r="92">
      <c r="A92" s="29" t="inlineStr">
        <is>
          <t>C-23</t>
        </is>
      </c>
      <c r="B92" s="30" t="inlineStr">
        <is>
          <t>Funktion 'Nachricht melden' aktiviert</t>
        </is>
      </c>
      <c r="C92" s="38" t="inlineStr">
        <is>
          <t>Best Practice</t>
        </is>
      </c>
      <c r="D92" s="30" t="inlineStr">
        <is>
          <t>Exchange PS</t>
        </is>
      </c>
      <c r="E92" s="32" t="inlineStr">
        <is>
          <t>Ja</t>
        </is>
      </c>
      <c r="F92" s="30" t="inlineStr">
        <is>
          <t>Get-ReportSubmissionPolicy / Get-ReportSubmissionRule</t>
        </is>
      </c>
      <c r="G92" s="33" t="inlineStr"/>
    </row>
    <row r="93" ht="20" customHeight="1">
      <c r="A93" s="28" t="inlineStr">
        <is>
          <t>D   Purview / Exchange / EOP / SharePoint   ·   Portal: purview / admin.exchange / admin.microsoft.com</t>
        </is>
      </c>
    </row>
    <row r="94">
      <c r="A94" s="29" t="inlineStr">
        <is>
          <t>D-01</t>
        </is>
      </c>
      <c r="B94" s="30" t="inlineStr">
        <is>
          <t>Einheitliches Überwachungsprotokoll verifiziert</t>
        </is>
      </c>
      <c r="C94" s="31" t="inlineStr">
        <is>
          <t>Pflicht</t>
        </is>
      </c>
      <c r="D94" s="30" t="inlineStr">
        <is>
          <t>Exchange PS</t>
        </is>
      </c>
      <c r="E94" s="32" t="inlineStr">
        <is>
          <t>Ja</t>
        </is>
      </c>
      <c r="F94" s="30" t="inlineStr">
        <is>
          <t>Get-AdminAuditLogConfig (UnifiedAuditLogIngestionEnabled); Test: Search-UnifiedAuditLog</t>
        </is>
      </c>
      <c r="G94" s="33" t="inlineStr"/>
    </row>
    <row r="95">
      <c r="A95" s="34" t="inlineStr">
        <is>
          <t>D-02</t>
        </is>
      </c>
      <c r="B95" s="35" t="inlineStr">
        <is>
          <t>Postfachüberwachung verifiziert</t>
        </is>
      </c>
      <c r="C95" s="31" t="inlineStr">
        <is>
          <t>Pflicht</t>
        </is>
      </c>
      <c r="D95" s="35" t="inlineStr">
        <is>
          <t>Exchange PS</t>
        </is>
      </c>
      <c r="E95" s="32" t="inlineStr">
        <is>
          <t>Ja</t>
        </is>
      </c>
      <c r="F95" s="35" t="inlineStr">
        <is>
          <t>Get-OrganizationConfig (AuditDisabled = False)</t>
        </is>
      </c>
      <c r="G95" s="37" t="inlineStr"/>
    </row>
    <row r="96">
      <c r="A96" s="29" t="inlineStr">
        <is>
          <t>D-03</t>
        </is>
      </c>
      <c r="B96" s="30" t="inlineStr">
        <is>
          <t>SMTP AUTH und Legacy-Protokolle kontrolliert</t>
        </is>
      </c>
      <c r="C96" s="38" t="inlineStr">
        <is>
          <t>Best Practice</t>
        </is>
      </c>
      <c r="D96" s="30" t="inlineStr">
        <is>
          <t>Exchange PS</t>
        </is>
      </c>
      <c r="E96" s="32" t="inlineStr">
        <is>
          <t>Ja</t>
        </is>
      </c>
      <c r="F96" s="30" t="inlineStr">
        <is>
          <t>Get-TransportConfig (SmtpClientAuthenticationDisabled); Get-CASMailbox; Get-AuthenticationPolicy</t>
        </is>
      </c>
      <c r="G96" s="33" t="inlineStr"/>
    </row>
    <row r="97">
      <c r="A97" s="34" t="inlineStr">
        <is>
          <t>D-04</t>
        </is>
      </c>
      <c r="B97" s="35" t="inlineStr">
        <is>
          <t>Externe automatische Weiterleitung blockiert</t>
        </is>
      </c>
      <c r="C97" s="31" t="inlineStr">
        <is>
          <t>Pflicht</t>
        </is>
      </c>
      <c r="D97" s="35" t="inlineStr">
        <is>
          <t>Exchange PS</t>
        </is>
      </c>
      <c r="E97" s="32" t="inlineStr">
        <is>
          <t>Ja</t>
        </is>
      </c>
      <c r="F97" s="35" t="inlineStr">
        <is>
          <t>Get-HostedOutboundSpamFilterPolicy (AutoForwardingMode) + Get-TransportRule</t>
        </is>
      </c>
      <c r="G97" s="37" t="inlineStr"/>
    </row>
    <row r="98">
      <c r="A98" s="29" t="inlineStr">
        <is>
          <t>D-05</t>
        </is>
      </c>
      <c r="B98" s="30" t="inlineStr">
        <is>
          <t>Posteingangsregeln und Postfachdelegierungen geprüft</t>
        </is>
      </c>
      <c r="C98" s="38" t="inlineStr">
        <is>
          <t>Best Practice</t>
        </is>
      </c>
      <c r="D98" s="30" t="inlineStr">
        <is>
          <t>Exchange PS</t>
        </is>
      </c>
      <c r="E98" s="36" t="inlineStr">
        <is>
          <t>Teilweise</t>
        </is>
      </c>
      <c r="F98" s="30" t="inlineStr">
        <is>
          <t>Get-InboxRule -Mailbox *; Get-MailboxPermission; Get-RecipientPermission</t>
        </is>
      </c>
      <c r="G98" s="33" t="inlineStr">
        <is>
          <t>Auslesbar; Bewertung 'unbekannt/verdächtig' manuell</t>
        </is>
      </c>
    </row>
    <row r="99">
      <c r="A99" s="34" t="inlineStr">
        <is>
          <t>D-06</t>
        </is>
      </c>
      <c r="B99" s="35" t="inlineStr">
        <is>
          <t>Warnbanner für externe Absender</t>
        </is>
      </c>
      <c r="C99" s="38" t="inlineStr">
        <is>
          <t>Best Practice</t>
        </is>
      </c>
      <c r="D99" s="35" t="inlineStr">
        <is>
          <t>Exchange PS</t>
        </is>
      </c>
      <c r="E99" s="32" t="inlineStr">
        <is>
          <t>Ja</t>
        </is>
      </c>
      <c r="F99" s="35" t="inlineStr">
        <is>
          <t>Get-ExternalInOutlook; Get-TransportRule</t>
        </is>
      </c>
      <c r="G99" s="37" t="inlineStr"/>
    </row>
    <row r="100">
      <c r="A100" s="29" t="inlineStr">
        <is>
          <t>D-07</t>
        </is>
      </c>
      <c r="B100" s="30" t="inlineStr">
        <is>
          <t>Gefährliche Dateitypen per Transportregel blockiert</t>
        </is>
      </c>
      <c r="C100" s="40" t="inlineStr">
        <is>
          <t>Optional</t>
        </is>
      </c>
      <c r="D100" s="30" t="inlineStr">
        <is>
          <t>Exchange PS</t>
        </is>
      </c>
      <c r="E100" s="36" t="inlineStr">
        <is>
          <t>Teilweise</t>
        </is>
      </c>
      <c r="F100" s="30" t="inlineStr">
        <is>
          <t>Get-TransportRule</t>
        </is>
      </c>
      <c r="G100" s="33" t="inlineStr">
        <is>
          <t>Regel-Existenz lesbar; Semantik manuell</t>
        </is>
      </c>
    </row>
    <row r="101">
      <c r="A101" s="34" t="inlineStr">
        <is>
          <t>D-08</t>
        </is>
      </c>
      <c r="B101" s="35" t="inlineStr">
        <is>
          <t>SPF-Eintrag gesetzt</t>
        </is>
      </c>
      <c r="C101" s="31" t="inlineStr">
        <is>
          <t>Pflicht</t>
        </is>
      </c>
      <c r="D101" s="35" t="inlineStr">
        <is>
          <t>DNS</t>
        </is>
      </c>
      <c r="E101" s="32" t="inlineStr">
        <is>
          <t>Ja</t>
        </is>
      </c>
      <c r="F101" s="35" t="inlineStr">
        <is>
          <t>DNS TXT-Abfrage (v=spf1 … -all)</t>
        </is>
      </c>
      <c r="G101" s="37" t="inlineStr"/>
    </row>
    <row r="102">
      <c r="A102" s="29" t="inlineStr">
        <is>
          <t>D-09</t>
        </is>
      </c>
      <c r="B102" s="30" t="inlineStr">
        <is>
          <t>DKIM aktiviert und signiert</t>
        </is>
      </c>
      <c r="C102" s="31" t="inlineStr">
        <is>
          <t>Pflicht</t>
        </is>
      </c>
      <c r="D102" s="30" t="inlineStr">
        <is>
          <t>Exchange PS / DNS</t>
        </is>
      </c>
      <c r="E102" s="32" t="inlineStr">
        <is>
          <t>Ja</t>
        </is>
      </c>
      <c r="F102" s="30" t="inlineStr">
        <is>
          <t>Get-DkimSigningConfig (+ DNS Selektor-CNAME/TXT)</t>
        </is>
      </c>
      <c r="G102" s="33" t="inlineStr"/>
    </row>
    <row r="103">
      <c r="A103" s="34" t="inlineStr">
        <is>
          <t>D-10</t>
        </is>
      </c>
      <c r="B103" s="35" t="inlineStr">
        <is>
          <t>DMARC-Eintrag veröffentlicht</t>
        </is>
      </c>
      <c r="C103" s="31" t="inlineStr">
        <is>
          <t>Pflicht</t>
        </is>
      </c>
      <c r="D103" s="35" t="inlineStr">
        <is>
          <t>DNS</t>
        </is>
      </c>
      <c r="E103" s="32" t="inlineStr">
        <is>
          <t>Ja</t>
        </is>
      </c>
      <c r="F103" s="35" t="inlineStr">
        <is>
          <t>DNS TXT _dmarc.&lt;domain&gt; (p = none/quarantine/reject)</t>
        </is>
      </c>
      <c r="G103" s="37" t="inlineStr"/>
    </row>
    <row r="104">
      <c r="A104" s="29" t="inlineStr">
        <is>
          <t>D-11</t>
        </is>
      </c>
      <c r="B104" s="30" t="inlineStr">
        <is>
          <t>Externe Freigabe für SharePoint und OneDrive eingeschränkt</t>
        </is>
      </c>
      <c r="C104" s="38" t="inlineStr">
        <is>
          <t>Best Practice</t>
        </is>
      </c>
      <c r="D104" s="30" t="inlineStr">
        <is>
          <t>SharePoint PS / Graph</t>
        </is>
      </c>
      <c r="E104" s="32" t="inlineStr">
        <is>
          <t>Ja</t>
        </is>
      </c>
      <c r="F104" s="30" t="inlineStr">
        <is>
          <t>Get-SPOTenant (SharingCapability) bzw. GET /admin/sharepoint/settings</t>
        </is>
      </c>
      <c r="G104" s="33" t="inlineStr"/>
    </row>
    <row r="105">
      <c r="A105" s="34" t="inlineStr">
        <is>
          <t>D-12</t>
        </is>
      </c>
      <c r="B105" s="35" t="inlineStr">
        <is>
          <t>Freigabelinks im Detail konfiguriert</t>
        </is>
      </c>
      <c r="C105" s="38" t="inlineStr">
        <is>
          <t>Best Practice</t>
        </is>
      </c>
      <c r="D105" s="35" t="inlineStr">
        <is>
          <t>SharePoint PS / Graph</t>
        </is>
      </c>
      <c r="E105" s="32" t="inlineStr">
        <is>
          <t>Ja</t>
        </is>
      </c>
      <c r="F105" s="35" t="inlineStr">
        <is>
          <t>Get-SPOTenant (DefaultSharingLinkType, RequireAnonymousLinksExpireInDays, DefaultLinkPermission)</t>
        </is>
      </c>
      <c r="G105" s="37" t="inlineStr"/>
    </row>
    <row r="106">
      <c r="A106" s="29" t="inlineStr">
        <is>
          <t>D-13</t>
        </is>
      </c>
      <c r="B106" s="30" t="inlineStr">
        <is>
          <t>Zugriff nicht verwalteter Geräte auf SPO und OneDrive eingeschränkt</t>
        </is>
      </c>
      <c r="C106" s="38" t="inlineStr">
        <is>
          <t>Best Practice</t>
        </is>
      </c>
      <c r="D106" s="30" t="inlineStr">
        <is>
          <t>SharePoint PS / Graph</t>
        </is>
      </c>
      <c r="E106" s="36" t="inlineStr">
        <is>
          <t>Teilweise</t>
        </is>
      </c>
      <c r="F106" s="30" t="inlineStr">
        <is>
          <t>Get-SPOTenant (ConditionalAccessPolicy) + zugehörige CA-Policy</t>
        </is>
      </c>
      <c r="G106" s="33" t="inlineStr"/>
    </row>
    <row r="107">
      <c r="A107" s="34" t="inlineStr">
        <is>
          <t>D-14</t>
        </is>
      </c>
      <c r="B107" s="35" t="inlineStr">
        <is>
          <t>OneDrive Known Folder Move aktiviert</t>
        </is>
      </c>
      <c r="C107" s="38" t="inlineStr">
        <is>
          <t>Best Practice</t>
        </is>
      </c>
      <c r="D107" s="35" t="inlineStr">
        <is>
          <t>Graph (Intune) / SharePoint</t>
        </is>
      </c>
      <c r="E107" s="32" t="inlineStr">
        <is>
          <t>Ja</t>
        </is>
      </c>
      <c r="F107" s="35" t="inlineStr">
        <is>
          <t>Intune configurationPolicies (KFM) bzw. OneDrive ADMX; Get-SPOTenant</t>
        </is>
      </c>
      <c r="G107" s="37" t="inlineStr"/>
    </row>
    <row r="108">
      <c r="A108" s="29" t="inlineStr">
        <is>
          <t>D-15</t>
        </is>
      </c>
      <c r="B108" s="30" t="inlineStr">
        <is>
          <t>Leerlauf-Sitzungstimeout (Idle Session Timeout)</t>
        </is>
      </c>
      <c r="C108" s="38" t="inlineStr">
        <is>
          <t>Best Practice</t>
        </is>
      </c>
      <c r="D108" s="30" t="inlineStr">
        <is>
          <t>Portal / Graph</t>
        </is>
      </c>
      <c r="E108" s="36" t="inlineStr">
        <is>
          <t>Teilweise</t>
        </is>
      </c>
      <c r="F108" s="30" t="inlineStr">
        <is>
          <t>M365 Admin Org-Settings (Idle Session Timeout); API begrenzt</t>
        </is>
      </c>
      <c r="G108" s="33" t="inlineStr"/>
    </row>
    <row r="109">
      <c r="A109" s="34" t="inlineStr">
        <is>
          <t>D-16</t>
        </is>
      </c>
      <c r="B109" s="35" t="inlineStr">
        <is>
          <t>Vertraulichkeitsbezeichnungen veröffentlicht</t>
        </is>
      </c>
      <c r="C109" s="40" t="inlineStr">
        <is>
          <t>Optional</t>
        </is>
      </c>
      <c r="D109" s="35" t="inlineStr">
        <is>
          <t>Security &amp; Compliance PS</t>
        </is>
      </c>
      <c r="E109" s="32" t="inlineStr">
        <is>
          <t>Ja</t>
        </is>
      </c>
      <c r="F109" s="35" t="inlineStr">
        <is>
          <t>Get-Label / Get-LabelPolicy</t>
        </is>
      </c>
      <c r="G109" s="37" t="inlineStr"/>
    </row>
    <row r="110">
      <c r="A110" s="29" t="inlineStr">
        <is>
          <t>D-17</t>
        </is>
      </c>
      <c r="B110" s="30" t="inlineStr">
        <is>
          <t>Basis-DLP-Richtlinie aktiviert</t>
        </is>
      </c>
      <c r="C110" s="38" t="inlineStr">
        <is>
          <t>Best Practice</t>
        </is>
      </c>
      <c r="D110" s="30" t="inlineStr">
        <is>
          <t>Security &amp; Compliance PS</t>
        </is>
      </c>
      <c r="E110" s="32" t="inlineStr">
        <is>
          <t>Ja</t>
        </is>
      </c>
      <c r="F110" s="30" t="inlineStr">
        <is>
          <t>Get-DlpCompliancePolicy / Get-DlpComplianceRule</t>
        </is>
      </c>
      <c r="G110" s="33" t="inlineStr"/>
    </row>
    <row r="111">
      <c r="A111" s="34" t="inlineStr">
        <is>
          <t>D-18</t>
        </is>
      </c>
      <c r="B111" s="35" t="inlineStr">
        <is>
          <t>Basis-Aufbewahrungsrichtlinie</t>
        </is>
      </c>
      <c r="C111" s="40" t="inlineStr">
        <is>
          <t>Optional</t>
        </is>
      </c>
      <c r="D111" s="35" t="inlineStr">
        <is>
          <t>Security &amp; Compliance PS</t>
        </is>
      </c>
      <c r="E111" s="32" t="inlineStr">
        <is>
          <t>Ja</t>
        </is>
      </c>
      <c r="F111" s="35" t="inlineStr">
        <is>
          <t>Get-RetentionCompliancePolicy / -Rule</t>
        </is>
      </c>
      <c r="G111" s="37" t="inlineStr"/>
    </row>
    <row r="112">
      <c r="A112" s="29" t="inlineStr">
        <is>
          <t>D-19</t>
        </is>
      </c>
      <c r="B112" s="30" t="inlineStr">
        <is>
          <t>Gruppen- und Teams-Erstellung sowie Gastzugriff gesteuert</t>
        </is>
      </c>
      <c r="C112" s="40" t="inlineStr">
        <is>
          <t>Optional</t>
        </is>
      </c>
      <c r="D112" s="30" t="inlineStr">
        <is>
          <t>Graph (beta) / Teams PS</t>
        </is>
      </c>
      <c r="E112" s="36" t="inlineStr">
        <is>
          <t>Teilweise</t>
        </is>
      </c>
      <c r="F112" s="30" t="inlineStr">
        <is>
          <t>Get-MgBetaDirectorySetting (Group.Unified); Get-CsTeamsClientConfiguration</t>
        </is>
      </c>
      <c r="G112" s="33" t="inlineStr"/>
    </row>
    <row r="113" ht="20" customHeight="1">
      <c r="A113" s="28" t="inlineStr">
        <is>
          <t>E   Betrieb &amp; Nachweisführung   ·   Prozessuale Kontrollpunkte</t>
        </is>
      </c>
    </row>
    <row r="114">
      <c r="A114" s="29" t="inlineStr">
        <is>
          <t>E-01</t>
        </is>
      </c>
      <c r="B114" s="30" t="inlineStr">
        <is>
          <t>Backup-Strategie definiert und dokumentiert</t>
        </is>
      </c>
      <c r="C114" s="31" t="inlineStr">
        <is>
          <t>Pflicht</t>
        </is>
      </c>
      <c r="D114" s="30" t="inlineStr">
        <is>
          <t>Manuell</t>
        </is>
      </c>
      <c r="E114" s="39" t="inlineStr">
        <is>
          <t>Nein</t>
        </is>
      </c>
      <c r="F114" s="30" t="inlineStr">
        <is>
          <t>-</t>
        </is>
      </c>
      <c r="G114" s="33" t="inlineStr">
        <is>
          <t>Prozess/Dokumentation</t>
        </is>
      </c>
    </row>
    <row r="115">
      <c r="A115" s="34" t="inlineStr">
        <is>
          <t>E-02</t>
        </is>
      </c>
      <c r="B115" s="35" t="inlineStr">
        <is>
          <t>Offboarding-Prozess definiert</t>
        </is>
      </c>
      <c r="C115" s="31" t="inlineStr">
        <is>
          <t>Pflicht</t>
        </is>
      </c>
      <c r="D115" s="35" t="inlineStr">
        <is>
          <t>Manuell</t>
        </is>
      </c>
      <c r="E115" s="39" t="inlineStr">
        <is>
          <t>Nein</t>
        </is>
      </c>
      <c r="F115" s="35" t="inlineStr">
        <is>
          <t>-</t>
        </is>
      </c>
      <c r="G115" s="37" t="inlineStr">
        <is>
          <t>Prozess; Einzelschritte per Graph/EXO skriptbar, Prozess selbst manuell</t>
        </is>
      </c>
    </row>
    <row r="116">
      <c r="A116" s="29" t="inlineStr">
        <is>
          <t>E-03</t>
        </is>
      </c>
      <c r="B116" s="30" t="inlineStr">
        <is>
          <t>Joiner-Mover-Leaver-Prozess dokumentiert</t>
        </is>
      </c>
      <c r="C116" s="38" t="inlineStr">
        <is>
          <t>Best Practice</t>
        </is>
      </c>
      <c r="D116" s="30" t="inlineStr">
        <is>
          <t>Manuell</t>
        </is>
      </c>
      <c r="E116" s="39" t="inlineStr">
        <is>
          <t>Nein</t>
        </is>
      </c>
      <c r="F116" s="30" t="inlineStr">
        <is>
          <t>-</t>
        </is>
      </c>
      <c r="G116" s="33" t="inlineStr">
        <is>
          <t>Prozess</t>
        </is>
      </c>
    </row>
    <row r="117">
      <c r="A117" s="34" t="inlineStr">
        <is>
          <t>E-04</t>
        </is>
      </c>
      <c r="B117" s="35" t="inlineStr">
        <is>
          <t>Alle Ausnahmen zentral dokumentiert</t>
        </is>
      </c>
      <c r="C117" s="38" t="inlineStr">
        <is>
          <t>Best Practice</t>
        </is>
      </c>
      <c r="D117" s="35" t="inlineStr">
        <is>
          <t>Manuell</t>
        </is>
      </c>
      <c r="E117" s="39" t="inlineStr">
        <is>
          <t>Nein</t>
        </is>
      </c>
      <c r="F117" s="35" t="inlineStr">
        <is>
          <t>-</t>
        </is>
      </c>
      <c r="G117" s="37" t="inlineStr">
        <is>
          <t>Dokumentation (Werte aus B-14, ASR, CA)</t>
        </is>
      </c>
    </row>
    <row r="118">
      <c r="A118" s="29" t="inlineStr">
        <is>
          <t>E-05</t>
        </is>
      </c>
      <c r="B118" s="30" t="inlineStr">
        <is>
          <t>Empfängerkette für Alarme dokumentiert</t>
        </is>
      </c>
      <c r="C118" s="38" t="inlineStr">
        <is>
          <t>Best Practice</t>
        </is>
      </c>
      <c r="D118" s="30" t="inlineStr">
        <is>
          <t>Manuell</t>
        </is>
      </c>
      <c r="E118" s="36" t="inlineStr">
        <is>
          <t>Teilweise</t>
        </is>
      </c>
      <c r="F118" s="30" t="inlineStr">
        <is>
          <t>-</t>
        </is>
      </c>
      <c r="G118" s="33" t="inlineStr">
        <is>
          <t>Teils aus C-07/Defender-Notifications ableitbar; Verantwortlichkeiten manuell</t>
        </is>
      </c>
    </row>
    <row r="119">
      <c r="A119" s="34" t="inlineStr">
        <is>
          <t>E-06</t>
        </is>
      </c>
      <c r="B119" s="35" t="inlineStr">
        <is>
          <t>Wiederholungsprüfung terminiert</t>
        </is>
      </c>
      <c r="C119" s="31" t="inlineStr">
        <is>
          <t>Pflicht</t>
        </is>
      </c>
      <c r="D119" s="35" t="inlineStr">
        <is>
          <t>Manuell</t>
        </is>
      </c>
      <c r="E119" s="39" t="inlineStr">
        <is>
          <t>Nein</t>
        </is>
      </c>
      <c r="F119" s="35" t="inlineStr">
        <is>
          <t>-</t>
        </is>
      </c>
      <c r="G119" s="37" t="inlineStr">
        <is>
          <t>Termin/Dokumentation</t>
        </is>
      </c>
    </row>
    <row r="120">
      <c r="A120" s="29" t="inlineStr">
        <is>
          <t>E-07</t>
        </is>
      </c>
      <c r="B120" s="30" t="inlineStr">
        <is>
          <t>Übergabe und Abnahme mit dem Kunden dokumentiert</t>
        </is>
      </c>
      <c r="C120" s="38" t="inlineStr">
        <is>
          <t>Best Practice</t>
        </is>
      </c>
      <c r="D120" s="30" t="inlineStr">
        <is>
          <t>Manuell</t>
        </is>
      </c>
      <c r="E120" s="39" t="inlineStr">
        <is>
          <t>Nein</t>
        </is>
      </c>
      <c r="F120" s="30" t="inlineStr">
        <is>
          <t>-</t>
        </is>
      </c>
      <c r="G120" s="33" t="inlineStr">
        <is>
          <t>Unterschrift/Dokumentation</t>
        </is>
      </c>
    </row>
  </sheetData>
  <autoFilter ref="A3:G120"/>
  <mergeCells count="8">
    <mergeCell ref="A93:G93"/>
    <mergeCell ref="A13:G13"/>
    <mergeCell ref="A1:G1"/>
    <mergeCell ref="A69:G69"/>
    <mergeCell ref="A35:G35"/>
    <mergeCell ref="A4:G4"/>
    <mergeCell ref="A2:G2"/>
    <mergeCell ref="A113:G1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zoomScaleNormal="100" workbookViewId="0">
      <pane ySplit="3" topLeftCell="A4" activePane="bottomLeft" state="frozen"/>
      <selection pane="bottomLeft" activeCell="A1" sqref="A1"/>
    </sheetView>
  </sheetViews>
  <sheetFormatPr baseColWidth="10" defaultColWidth="8.7109375" defaultRowHeight="15"/>
  <cols>
    <col width="6" customWidth="1" min="1" max="1"/>
    <col width="52" customWidth="1" min="2" max="2"/>
    <col width="14" customWidth="1" min="3" max="3"/>
    <col width="56" customWidth="1" min="4" max="4"/>
    <col width="14" customWidth="1" min="5" max="5"/>
    <col width="30" customWidth="1" min="6" max="6"/>
  </cols>
  <sheetData>
    <row r="1" ht="25.5" customHeight="1">
      <c r="A1" s="14" t="inlineStr">
        <is>
          <t>Anhang: Empfohlene Regeln zur Angriffsflächenreduzierung (ASR)</t>
        </is>
      </c>
    </row>
    <row r="2" ht="33.75" customHeight="1">
      <c r="A2" s="22" t="inlineStr">
        <is>
          <t>Vorgehen: zunächst im Audit-Modus ausrollen, Kompatibilität prüfen, dann auf Blockieren umstellen. Pfad: Intune &gt; Endpunktsicherheit &gt; Angriffsflächenreduzierung. Ausnahmen in Kontrollpunkt E-04 dokumentieren. Voraussetzung: Defender Antivirus als primäres AV mit aktivem Cloud-Schutz.</t>
        </is>
      </c>
    </row>
    <row r="3" ht="25.5" customHeight="1">
      <c r="A3" s="6" t="inlineStr">
        <is>
          <t>Nr.</t>
        </is>
      </c>
      <c r="B3" s="6" t="inlineStr">
        <is>
          <t>ASR-Regel</t>
        </is>
      </c>
      <c r="C3" s="6" t="inlineStr">
        <is>
          <t>Empfehlung</t>
        </is>
      </c>
      <c r="D3" s="6" t="inlineStr">
        <is>
          <t>Risiko / Hinweis</t>
        </is>
      </c>
      <c r="E3" s="6" t="inlineStr">
        <is>
          <t>Ist-Zustand</t>
        </is>
      </c>
      <c r="F3" s="6" t="inlineStr">
        <is>
          <t>Bemerkung</t>
        </is>
      </c>
    </row>
    <row r="4">
      <c r="A4" s="11" t="n">
        <v>1</v>
      </c>
      <c r="B4" s="8" t="inlineStr">
        <is>
          <t>Diebstahl von Anmeldeinformationen aus LSASS blockieren</t>
        </is>
      </c>
      <c r="C4" s="11" t="inlineStr">
        <is>
          <t>Block</t>
        </is>
      </c>
      <c r="D4" s="8" t="inlineStr">
        <is>
          <t>Faktisch Pflicht. Direkter Schutz gegen Mimikatz-artige Angriffe.</t>
        </is>
      </c>
      <c r="E4" s="12" t="inlineStr">
        <is>
          <t>Offen</t>
        </is>
      </c>
      <c r="F4" s="10" t="n"/>
    </row>
    <row r="5">
      <c r="A5" s="11" t="n">
        <v>2</v>
      </c>
      <c r="B5" s="8" t="inlineStr">
        <is>
          <t>Ausführung potenziell verschleierter Skripts blockieren</t>
        </is>
      </c>
      <c r="C5" s="11" t="inlineStr">
        <is>
          <t>Block</t>
        </is>
      </c>
      <c r="D5" s="8" t="inlineStr">
        <is>
          <t>Geringes Kompatibilitätsrisiko.</t>
        </is>
      </c>
      <c r="E5" s="12" t="inlineStr">
        <is>
          <t>Offen</t>
        </is>
      </c>
      <c r="F5" s="10" t="n"/>
    </row>
    <row r="6" ht="25.5" customHeight="1">
      <c r="A6" s="11" t="n">
        <v>3</v>
      </c>
      <c r="B6" s="8" t="inlineStr">
        <is>
          <t>JavaScript und VBScript am Starten heruntergeladener ausführbarer Inhalte hindern</t>
        </is>
      </c>
      <c r="C6" s="11" t="inlineStr">
        <is>
          <t>Block</t>
        </is>
      </c>
      <c r="D6" s="8" t="inlineStr">
        <is>
          <t>Geringes Kompatibilitätsrisiko.</t>
        </is>
      </c>
      <c r="E6" s="12" t="inlineStr">
        <is>
          <t>Offen</t>
        </is>
      </c>
      <c r="F6" s="10" t="n"/>
    </row>
    <row r="7">
      <c r="A7" s="11" t="n">
        <v>4</v>
      </c>
      <c r="B7" s="8" t="inlineStr">
        <is>
          <t>Office-Apps am Erstellen ausführbarer Inhalte hindern</t>
        </is>
      </c>
      <c r="C7" s="11" t="inlineStr">
        <is>
          <t>Block</t>
        </is>
      </c>
      <c r="D7" s="8" t="inlineStr">
        <is>
          <t>Geringes Kompatibilitätsrisiko.</t>
        </is>
      </c>
      <c r="E7" s="12" t="inlineStr">
        <is>
          <t>Offen</t>
        </is>
      </c>
      <c r="F7" s="10" t="n"/>
    </row>
    <row r="8" ht="25.5" customHeight="1">
      <c r="A8" s="11" t="n">
        <v>5</v>
      </c>
      <c r="B8" s="8" t="inlineStr">
        <is>
          <t>Office-Apps am Erstellen untergeordneter Prozesse hindern</t>
        </is>
      </c>
      <c r="C8" s="11" t="inlineStr">
        <is>
          <t>Block</t>
        </is>
      </c>
      <c r="D8" s="8" t="inlineStr">
        <is>
          <t>Prüfen, wenn Fachanwendungen aus Office heraus gestartet werden.</t>
        </is>
      </c>
      <c r="E8" s="12" t="inlineStr">
        <is>
          <t>Offen</t>
        </is>
      </c>
      <c r="F8" s="10" t="n"/>
    </row>
    <row r="9">
      <c r="A9" s="11" t="n">
        <v>6</v>
      </c>
      <c r="B9" s="8" t="inlineStr">
        <is>
          <t>Office-Apps an Code-Injektion in andere Prozesse hindern</t>
        </is>
      </c>
      <c r="C9" s="11" t="inlineStr">
        <is>
          <t>Block</t>
        </is>
      </c>
      <c r="D9" s="8" t="inlineStr">
        <is>
          <t>Geringes Kompatibilitätsrisiko.</t>
        </is>
      </c>
      <c r="E9" s="12" t="inlineStr">
        <is>
          <t>Offen</t>
        </is>
      </c>
      <c r="F9" s="10" t="n"/>
    </row>
    <row r="10">
      <c r="A10" s="11" t="n">
        <v>7</v>
      </c>
      <c r="B10" s="8" t="inlineStr">
        <is>
          <t>Win32-API-Aufrufe aus Office-Makros blockieren</t>
        </is>
      </c>
      <c r="C10" s="11" t="inlineStr">
        <is>
          <t>Block</t>
        </is>
      </c>
      <c r="D10" s="8" t="inlineStr">
        <is>
          <t>Prüfen, wenn Makros mit VBA-Automatisierung im Einsatz sind.</t>
        </is>
      </c>
      <c r="E10" s="12" t="inlineStr">
        <is>
          <t>Offen</t>
        </is>
      </c>
      <c r="F10" s="10" t="n"/>
    </row>
    <row r="11" ht="38.25" customHeight="1">
      <c r="A11" s="11" t="n">
        <v>8</v>
      </c>
      <c r="B11" s="8" t="inlineStr">
        <is>
          <t>Ausführbare Dateien ohne Verbreitungs-, Alters- oder Vertrauenskriterium blockieren</t>
        </is>
      </c>
      <c r="C11" s="11" t="inlineStr">
        <is>
          <t>Block/Audit</t>
        </is>
      </c>
      <c r="D11" s="8" t="inlineStr">
        <is>
          <t>ERHÖHTES FP-RISIKO. In gemischten Umgebungen regelmässig Fehlalarme bei Eigen- und Nischensoftware. Zwingend zuerst Audit.</t>
        </is>
      </c>
      <c r="E11" s="12" t="inlineStr">
        <is>
          <t>Offen</t>
        </is>
      </c>
      <c r="F11" s="10" t="n"/>
    </row>
    <row r="12" ht="25.5" customHeight="1">
      <c r="A12" s="11" t="n">
        <v>9</v>
      </c>
      <c r="B12" s="8" t="inlineStr">
        <is>
          <t>Ausführung ausführbarer Dateien aus E-Mail und Webmail blockieren</t>
        </is>
      </c>
      <c r="C12" s="11" t="inlineStr">
        <is>
          <t>Block</t>
        </is>
      </c>
      <c r="D12" s="8" t="inlineStr">
        <is>
          <t>Geringes Kompatibilitätsrisiko.</t>
        </is>
      </c>
      <c r="E12" s="12" t="inlineStr">
        <is>
          <t>Offen</t>
        </is>
      </c>
      <c r="F12" s="10" t="n"/>
    </row>
    <row r="13" ht="25.5" customHeight="1">
      <c r="A13" s="11" t="n">
        <v>10</v>
      </c>
      <c r="B13" s="8" t="inlineStr">
        <is>
          <t>Adobe Reader am Erstellen untergeordneter Prozesse hindern</t>
        </is>
      </c>
      <c r="C13" s="11" t="inlineStr">
        <is>
          <t>Block</t>
        </is>
      </c>
      <c r="D13" s="8" t="inlineStr">
        <is>
          <t>Geringes Kompatibilitätsrisiko.</t>
        </is>
      </c>
      <c r="E13" s="12" t="inlineStr">
        <is>
          <t>Offen</t>
        </is>
      </c>
      <c r="F13" s="10" t="n"/>
    </row>
    <row r="14">
      <c r="A14" s="11" t="n">
        <v>11</v>
      </c>
      <c r="B14" s="8" t="inlineStr">
        <is>
          <t>Persistenz über WMI-Ereignisabonnement blockieren</t>
        </is>
      </c>
      <c r="C14" s="11" t="inlineStr">
        <is>
          <t>Block</t>
        </is>
      </c>
      <c r="D14" s="8" t="inlineStr">
        <is>
          <t>Geringes Kompatibilitätsrisiko.</t>
        </is>
      </c>
      <c r="E14" s="12" t="inlineStr">
        <is>
          <t>Offen</t>
        </is>
      </c>
      <c r="F14" s="10" t="n"/>
    </row>
    <row r="15" ht="25.5" customHeight="1">
      <c r="A15" s="11" t="n">
        <v>12</v>
      </c>
      <c r="B15" s="8" t="inlineStr">
        <is>
          <t>Prozesserstellungen aus PSExec- und WMI-Befehlen blockieren</t>
        </is>
      </c>
      <c r="C15" s="11" t="inlineStr">
        <is>
          <t>Block/Audit</t>
        </is>
      </c>
      <c r="D15" s="8" t="inlineStr">
        <is>
          <t>ERHÖHTES FP-RISIKO. Kollidiert mit RMM- und Deployment-Werkzeugen. Zwingend zuerst Audit.</t>
        </is>
      </c>
      <c r="E15" s="12" t="inlineStr">
        <is>
          <t>Offen</t>
        </is>
      </c>
      <c r="F15" s="10" t="n"/>
    </row>
    <row r="16" ht="25.5" customHeight="1">
      <c r="A16" s="11" t="n">
        <v>13</v>
      </c>
      <c r="B16" s="8" t="inlineStr">
        <is>
          <t>Nicht vertrauenswürdige und unsignierte Prozesse von USB blockieren</t>
        </is>
      </c>
      <c r="C16" s="11" t="inlineStr">
        <is>
          <t>Block</t>
        </is>
      </c>
      <c r="D16" s="8" t="inlineStr">
        <is>
          <t>Prüfen, wenn Fachsoftware von Wechseldatenträgern gestartet wird.</t>
        </is>
      </c>
      <c r="E16" s="12" t="inlineStr">
        <is>
          <t>Offen</t>
        </is>
      </c>
      <c r="F16" s="10" t="n"/>
    </row>
    <row r="17">
      <c r="A17" s="11" t="n">
        <v>14</v>
      </c>
      <c r="B17" s="8" t="inlineStr">
        <is>
          <t>Missbrauch anfälliger signierter Treiber blockieren</t>
        </is>
      </c>
      <c r="C17" s="11" t="inlineStr">
        <is>
          <t>Block</t>
        </is>
      </c>
      <c r="D17" s="8" t="inlineStr">
        <is>
          <t>Geringes Kompatibilitätsrisiko. Schutz gegen BYOVD-Angriffe.</t>
        </is>
      </c>
      <c r="E17" s="12" t="inlineStr">
        <is>
          <t>Offen</t>
        </is>
      </c>
      <c r="F17" s="10" t="n"/>
    </row>
    <row r="18">
      <c r="A18" s="11" t="n">
        <v>15</v>
      </c>
      <c r="B18" s="8" t="inlineStr">
        <is>
          <t>Erweiterten Ransomware-Schutz verwenden</t>
        </is>
      </c>
      <c r="C18" s="11" t="inlineStr">
        <is>
          <t>Block</t>
        </is>
      </c>
      <c r="D18" s="8" t="inlineStr">
        <is>
          <t>Setzt aktiven Cloud-Schutz voraus (siehe B-09).</t>
        </is>
      </c>
      <c r="E18" s="12" t="inlineStr">
        <is>
          <t>Offen</t>
        </is>
      </c>
      <c r="F18" s="10" t="n"/>
    </row>
    <row r="19" ht="25.5" customHeight="1">
      <c r="A19" s="11" t="n">
        <v>16</v>
      </c>
      <c r="B19" s="8" t="inlineStr">
        <is>
          <t>Erstellen untergeordneter Prozesse durch die Office-Kommunikationsanwendung blockieren</t>
        </is>
      </c>
      <c r="C19" s="11" t="inlineStr">
        <is>
          <t>Block</t>
        </is>
      </c>
      <c r="D19" s="8" t="inlineStr">
        <is>
          <t>KORRIGIERT gegenüber v1.0: dort falsch als 'Wiederherstellung aus Kommunikationsanwendungen' bezeichnet. Betrifft Outlook.</t>
        </is>
      </c>
      <c r="E19" s="12" t="inlineStr">
        <is>
          <t>Offen</t>
        </is>
      </c>
      <c r="F19" s="10" t="n"/>
    </row>
    <row r="21" ht="30" customHeight="1">
      <c r="A21" s="18" t="inlineStr">
        <is>
          <t>Nicht aufgeführt: die Vorschauregeln (Neustart im abgesicherten Modus blockieren, Verwendung kopierter oder imitierter Systemtools blockieren) sowie die Serverregel zur Webshell-Erstellung. Vor Aufnahme jeweils den aktuellen Freigabestatus bei Microsoft prüfen.</t>
        </is>
      </c>
    </row>
  </sheetData>
  <autoFilter ref="A3:F19"/>
  <mergeCells count="3">
    <mergeCell ref="A2:F2"/>
    <mergeCell ref="A21:F21"/>
    <mergeCell ref="A1:F1"/>
  </mergeCells>
  <conditionalFormatting sqref="E4:E19">
    <cfRule type="cellIs" priority="2" operator="equal" dxfId="2">
      <formula>"Block"</formula>
    </cfRule>
    <cfRule type="cellIs" priority="3" operator="equal" dxfId="1">
      <formula>"Audit"</formula>
    </cfRule>
    <cfRule type="cellIs" priority="4" operator="equal" dxfId="0">
      <formula>"Offen"</formula>
    </cfRule>
  </conditionalFormatting>
  <dataValidations count="1">
    <dataValidation sqref="E4:E19" showDropDown="0" showInputMessage="0" showErrorMessage="0" allowBlank="1" type="list">
      <formula1>"Offen,Block,Audit,n.a."</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2026-09-07T14:03:29Z</dcterms:created>
  <dcterms:modified xmlns:dcterms="http://purl.org/dc/terms/" xmlns:xsi="http://www.w3.org/2001/XMLSchema-instance" xsi:type="dcterms:W3CDTF">2026-09-10T12:32:55Z</dcterms:modified>
  <cp:lastModifiedBy>Alexander Reichardt</cp:lastModifiedBy>
  <cp:revision>0</cp:revision>
</cp:coreProperties>
</file>